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Données" sheetId="1" state="visible" r:id="rId1"/>
    <sheet name="Charges indirectes" sheetId="2" state="visible" r:id="rId2"/>
    <sheet name="Coût d'achat" sheetId="3" state="visible" r:id="rId3"/>
    <sheet name="Stock acheté" sheetId="4" state="visible" r:id="rId4"/>
    <sheet name="Cout de production" sheetId="5" state="visible" r:id="rId5"/>
    <sheet name="Stock de trotinettes" sheetId="6" state="visible" r:id="rId6"/>
    <sheet name="Coût de revient" sheetId="7" state="visible" r:id="rId7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<sst xmlns="http://schemas.openxmlformats.org/spreadsheetml/2006/main" count="135" uniqueCount="135">
  <si>
    <t xml:space="preserve">Eau énergie</t>
  </si>
  <si>
    <t xml:space="preserve">Tableau des salaires et charges</t>
  </si>
  <si>
    <t xml:space="preserve">Mdo assemblage</t>
  </si>
  <si>
    <t>Roues</t>
  </si>
  <si>
    <t xml:space="preserve">M. Dion </t>
  </si>
  <si>
    <t>Garçon</t>
  </si>
  <si>
    <t xml:space="preserve">Repose Pied</t>
  </si>
  <si>
    <t xml:space="preserve"> M. Retron</t>
  </si>
  <si>
    <t>Fille</t>
  </si>
  <si>
    <t>Guidons</t>
  </si>
  <si>
    <t xml:space="preserve"> M. Poliard</t>
  </si>
  <si>
    <t>Freins</t>
  </si>
  <si>
    <t xml:space="preserve"> Mme Loudon</t>
  </si>
  <si>
    <t xml:space="preserve">Auto-collants filles</t>
  </si>
  <si>
    <t xml:space="preserve">Auto-collants garçons</t>
  </si>
  <si>
    <t xml:space="preserve">Emballage garçon</t>
  </si>
  <si>
    <t xml:space="preserve">Emballage fille</t>
  </si>
  <si>
    <t>Garde-boue</t>
  </si>
  <si>
    <t xml:space="preserve">Salaires et charges</t>
  </si>
  <si>
    <t>Entretien</t>
  </si>
  <si>
    <t>Publicité</t>
  </si>
  <si>
    <t>Transport</t>
  </si>
  <si>
    <t>Total</t>
  </si>
  <si>
    <t xml:space="preserve">Achat trottinettes </t>
  </si>
  <si>
    <t>Production</t>
  </si>
  <si>
    <t>Éléments</t>
  </si>
  <si>
    <t>Qté</t>
  </si>
  <si>
    <t>Roue</t>
  </si>
  <si>
    <t xml:space="preserve">Auto-collant filles</t>
  </si>
  <si>
    <t xml:space="preserve">Auto-collant garçons</t>
  </si>
  <si>
    <t xml:space="preserve">Emballages garçons</t>
  </si>
  <si>
    <t xml:space="preserve">Emballages filles</t>
  </si>
  <si>
    <t xml:space="preserve">Centres Auxiliaires</t>
  </si>
  <si>
    <t xml:space="preserve">Centres Principaux</t>
  </si>
  <si>
    <t>Administration</t>
  </si>
  <si>
    <t>Achat</t>
  </si>
  <si>
    <t>Assemblage</t>
  </si>
  <si>
    <t>Commercialisation</t>
  </si>
  <si>
    <t xml:space="preserve">Lié au cout d'achat</t>
  </si>
  <si>
    <t xml:space="preserve">Lié au cout de production</t>
  </si>
  <si>
    <t xml:space="preserve">Lié au cout hors production</t>
  </si>
  <si>
    <t>Dion</t>
  </si>
  <si>
    <t>Retron</t>
  </si>
  <si>
    <t>Poliard</t>
  </si>
  <si>
    <t>Loudon</t>
  </si>
  <si>
    <t xml:space="preserve">125,00 € </t>
  </si>
  <si>
    <t xml:space="preserve"> 25,00 € </t>
  </si>
  <si>
    <t xml:space="preserve"> 300,00 € </t>
  </si>
  <si>
    <t xml:space="preserve"> 500,00 € </t>
  </si>
  <si>
    <t xml:space="preserve">-   € </t>
  </si>
  <si>
    <t xml:space="preserve"> -   € </t>
  </si>
  <si>
    <t xml:space="preserve">3 000,00 € </t>
  </si>
  <si>
    <t xml:space="preserve"> 3 000,00 € </t>
  </si>
  <si>
    <t xml:space="preserve"> 12 000,00 € </t>
  </si>
  <si>
    <t xml:space="preserve"> 17 000,00 € </t>
  </si>
  <si>
    <t xml:space="preserve"> 3 600,00 € </t>
  </si>
  <si>
    <t xml:space="preserve"> 14 400,00 € </t>
  </si>
  <si>
    <t xml:space="preserve"> 18 000,00 € </t>
  </si>
  <si>
    <t xml:space="preserve">2 400,00 € </t>
  </si>
  <si>
    <t xml:space="preserve"> 2 400,00 € </t>
  </si>
  <si>
    <t xml:space="preserve"> 5 000,00 € </t>
  </si>
  <si>
    <t xml:space="preserve"> 1 500,00 € </t>
  </si>
  <si>
    <t xml:space="preserve">Répartition secondaire</t>
  </si>
  <si>
    <t xml:space="preserve">Total après répartition secondaire</t>
  </si>
  <si>
    <t xml:space="preserve">Nature de l'unité d'œuvre</t>
  </si>
  <si>
    <t xml:space="preserve">100 € d'achat HT </t>
  </si>
  <si>
    <t xml:space="preserve"> Heures de MOD </t>
  </si>
  <si>
    <t xml:space="preserve"> 10 € de vente HT </t>
  </si>
  <si>
    <t xml:space="preserve">Nombre d'unité d'œuvre</t>
  </si>
  <si>
    <t xml:space="preserve">Cout de l'unité d'œuvre</t>
  </si>
  <si>
    <t xml:space="preserve">Centre Auxiliaire</t>
  </si>
  <si>
    <t xml:space="preserve">Centre Principaux</t>
  </si>
  <si>
    <t xml:space="preserve">Totaux primaire</t>
  </si>
  <si>
    <t xml:space="preserve">Totaux secondaires</t>
  </si>
  <si>
    <t xml:space="preserve">Nature des unités d'œuvre</t>
  </si>
  <si>
    <t xml:space="preserve">Coût de l'unité d'œuvre</t>
  </si>
  <si>
    <t xml:space="preserve">Prix d'achat</t>
  </si>
  <si>
    <t xml:space="preserve">Qté acheté</t>
  </si>
  <si>
    <t xml:space="preserve">Prix d'achat unitaire</t>
  </si>
  <si>
    <t xml:space="preserve">Charges indirectes</t>
  </si>
  <si>
    <t xml:space="preserve">Cout d'achat</t>
  </si>
  <si>
    <t xml:space="preserve">Cout d'achat unitaire</t>
  </si>
  <si>
    <t xml:space="preserve">Auto collant filles</t>
  </si>
  <si>
    <t xml:space="preserve">Prix d'achat + Charges directes liées aux achats + charges indirectes liées aux achats</t>
  </si>
  <si>
    <t xml:space="preserve">Auto collant garçons</t>
  </si>
  <si>
    <t xml:space="preserve">Emballages garçon</t>
  </si>
  <si>
    <t xml:space="preserve">Emballages fille</t>
  </si>
  <si>
    <t xml:space="preserve">Garde boue</t>
  </si>
  <si>
    <t>Quantités</t>
  </si>
  <si>
    <t xml:space="preserve">Prix unitaire</t>
  </si>
  <si>
    <t>Montant</t>
  </si>
  <si>
    <t xml:space="preserve">Stock initial</t>
  </si>
  <si>
    <t xml:space="preserve">Les entrées se font au cout d'achat et pas au prix d'achat !!!!</t>
  </si>
  <si>
    <t>Entrée</t>
  </si>
  <si>
    <t>Sortie</t>
  </si>
  <si>
    <t xml:space="preserve">Les sorties correspondent à ce qui est utilisé par la production</t>
  </si>
  <si>
    <t xml:space="preserve">Stock final</t>
  </si>
  <si>
    <t xml:space="preserve">Elles se font au cout unitaire moyen pondéré (la méthode de gestion des stock)</t>
  </si>
  <si>
    <t xml:space="preserve">Repose Pieds</t>
  </si>
  <si>
    <t>Frein</t>
  </si>
  <si>
    <t xml:space="preserve">Auto collant Garçon</t>
  </si>
  <si>
    <t xml:space="preserve">Cout d'achat des matières utilisées</t>
  </si>
  <si>
    <t xml:space="preserve">Les sorties du stocks</t>
  </si>
  <si>
    <t xml:space="preserve">Charges directes</t>
  </si>
  <si>
    <t>Aucune</t>
  </si>
  <si>
    <t xml:space="preserve">Charges indirecte</t>
  </si>
  <si>
    <t>Heures</t>
  </si>
  <si>
    <t xml:space="preserve">Cout unité d'œuvre</t>
  </si>
  <si>
    <t xml:space="preserve">Cout total</t>
  </si>
  <si>
    <t xml:space="preserve">Nombre trotinettes</t>
  </si>
  <si>
    <t xml:space="preserve">Cout unitaire</t>
  </si>
  <si>
    <t xml:space="preserve">Trotinette garçon</t>
  </si>
  <si>
    <t xml:space="preserve">38,00 € </t>
  </si>
  <si>
    <t xml:space="preserve">42,87 € </t>
  </si>
  <si>
    <t xml:space="preserve">Entrée : ce qui a été produit valorisé au cout de production</t>
  </si>
  <si>
    <t xml:space="preserve">42,77 € </t>
  </si>
  <si>
    <t xml:space="preserve">Sortie : ce qui a été vendu valorisé au cout unitaire moyen pondéré (la méthode d estock)</t>
  </si>
  <si>
    <t xml:space="preserve">Trotinette fille</t>
  </si>
  <si>
    <t xml:space="preserve">45,00 € </t>
  </si>
  <si>
    <t xml:space="preserve">45,3828 € </t>
  </si>
  <si>
    <t xml:space="preserve">45,3771 € </t>
  </si>
  <si>
    <t xml:space="preserve">Nom Produit</t>
  </si>
  <si>
    <t>PU</t>
  </si>
  <si>
    <t xml:space="preserve">Cout de production des trotinette vendues</t>
  </si>
  <si>
    <t>---&gt;</t>
  </si>
  <si>
    <t xml:space="preserve">Les sorties de la fiche de stock</t>
  </si>
  <si>
    <t xml:space="preserve">Cout hors production</t>
  </si>
  <si>
    <t>Livraisons</t>
  </si>
  <si>
    <t xml:space="preserve">Cout de revient</t>
  </si>
  <si>
    <t>--&gt;</t>
  </si>
  <si>
    <t xml:space="preserve">Cout de prod des trot vendues+ cout hors prod</t>
  </si>
  <si>
    <t>CA</t>
  </si>
  <si>
    <t xml:space="preserve">Résutat (CA- cout de revient)</t>
  </si>
  <si>
    <t xml:space="preserve">CA-Cout de revient</t>
  </si>
  <si>
    <t xml:space="preserve">Résultat global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</si>
</sst>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#,##0 \€;[Red]-#,##0 \€"/>
    <numFmt numFmtId="165" formatCode="#,##0.00 \€;[Red]-#,##0.00 \€"/>
  </numFmts>
  <fonts count="6">
    <font>
      <sz val="11.000000"/>
      <color theme="1"/>
      <name val="Calibri"/>
      <scheme val="minor"/>
    </font>
    <font>
      <sz val="11.000000"/>
      <color indexed="64"/>
      <name val="Calibri"/>
    </font>
    <font>
      <b/>
      <sz val="11.000000"/>
      <color indexed="64"/>
      <name val="Calibri"/>
    </font>
    <font>
      <sz val="18.000000"/>
      <color indexed="2"/>
      <name val="Calibri"/>
    </font>
    <font>
      <sz val="14.000000"/>
      <color indexed="2"/>
      <name val="Calibri"/>
    </font>
    <font>
      <sz val="11.000000"/>
      <color indexed="2"/>
      <name val="Calibri"/>
    </font>
  </fonts>
  <fills count="6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rgb="FF8EA9DB"/>
        <bgColor rgb="FF8EA9DB"/>
      </patternFill>
    </fill>
    <fill>
      <patternFill patternType="solid">
        <fgColor rgb="FFC65911"/>
        <bgColor rgb="FFC65911"/>
      </patternFill>
    </fill>
    <fill>
      <patternFill patternType="solid">
        <fgColor rgb="FFF2F2F2"/>
        <bgColor rgb="FFF2F2F2"/>
      </patternFill>
    </fill>
  </fills>
  <borders count="10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none"/>
      <bottom style="thin">
        <color indexed="64"/>
      </bottom>
      <diagonal style="none"/>
    </border>
    <border>
      <left style="none"/>
      <right style="thin">
        <color indexed="64"/>
      </right>
      <top style="none"/>
      <bottom style="thin">
        <color indexed="64"/>
      </bottom>
      <diagonal style="none"/>
    </border>
    <border>
      <left style="thin">
        <color indexed="64"/>
      </left>
      <right style="none"/>
      <top style="thin">
        <color indexed="64"/>
      </top>
      <bottom style="thin">
        <color indexed="64"/>
      </bottom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none"/>
      <bottom style="none"/>
      <diagonal style="none"/>
    </border>
    <border>
      <left style="none"/>
      <right style="thin">
        <color indexed="64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74">
    <xf fontId="0" fillId="0" borderId="0" numFmtId="0" xfId="0"/>
    <xf fontId="1" fillId="0" borderId="1" numFmtId="0" xfId="0" applyFont="1" applyBorder="1" applyAlignment="1">
      <alignment horizontal="left" vertical="center"/>
    </xf>
    <xf fontId="1" fillId="0" borderId="2" numFmtId="0" xfId="0" applyFont="1" applyBorder="1" applyAlignment="1">
      <alignment horizontal="right" vertical="center"/>
    </xf>
    <xf fontId="0" fillId="0" borderId="0" numFmtId="0" xfId="0" applyAlignment="1">
      <alignment horizontal="left"/>
    </xf>
    <xf fontId="1" fillId="0" borderId="3" numFmtId="0" xfId="0" applyFont="1" applyBorder="1" applyAlignment="1">
      <alignment horizontal="center" vertical="center"/>
    </xf>
    <xf fontId="1" fillId="0" borderId="4" numFmtId="0" xfId="0" applyFont="1" applyBorder="1" applyAlignment="1">
      <alignment horizontal="center" vertical="center"/>
    </xf>
    <xf fontId="1" fillId="0" borderId="0" numFmtId="0" xfId="0" applyFont="1" applyAlignment="1">
      <alignment horizontal="left"/>
    </xf>
    <xf fontId="1" fillId="0" borderId="2" numFmtId="164" xfId="0" applyNumberFormat="1" applyFont="1" applyBorder="1" applyAlignment="1">
      <alignment horizontal="right" vertical="center"/>
    </xf>
    <xf fontId="1" fillId="0" borderId="0" numFmtId="0" xfId="0" applyFont="1" applyAlignment="1">
      <alignment horizontal="right"/>
    </xf>
    <xf fontId="0" fillId="0" borderId="0" numFmtId="0" xfId="0" applyAlignment="1">
      <alignment horizontal="left" vertical="center"/>
    </xf>
    <xf fontId="2" fillId="0" borderId="1" numFmtId="0" xfId="0" applyFont="1" applyBorder="1" applyAlignment="1">
      <alignment horizontal="left" vertical="center"/>
    </xf>
    <xf fontId="2" fillId="0" borderId="2" numFmtId="0" xfId="0" applyFont="1" applyBorder="1" applyAlignment="1">
      <alignment horizontal="right" vertical="center"/>
    </xf>
    <xf fontId="1" fillId="0" borderId="1" numFmtId="0" xfId="0" applyFont="1" applyBorder="1" applyAlignment="1">
      <alignment horizontal="center" vertical="center"/>
    </xf>
    <xf fontId="1" fillId="0" borderId="2" numFmtId="0" xfId="0" applyFont="1" applyBorder="1" applyAlignment="1">
      <alignment horizontal="center" vertical="center"/>
    </xf>
    <xf fontId="1" fillId="2" borderId="2" numFmtId="0" xfId="0" applyFont="1" applyFill="1" applyBorder="1" applyAlignment="1">
      <alignment horizontal="center" vertical="center"/>
    </xf>
    <xf fontId="1" fillId="3" borderId="2" numFmtId="0" xfId="0" applyFont="1" applyFill="1" applyBorder="1" applyAlignment="1">
      <alignment horizontal="center" vertical="center"/>
    </xf>
    <xf fontId="1" fillId="4" borderId="5" numFmtId="0" xfId="0" applyFont="1" applyFill="1" applyBorder="1" applyAlignment="1">
      <alignment horizontal="center" vertical="center"/>
    </xf>
    <xf fontId="1" fillId="0" borderId="6" numFmtId="0" xfId="0" applyFont="1" applyBorder="1" applyAlignment="1">
      <alignment horizontal="center" vertical="center"/>
    </xf>
    <xf fontId="0" fillId="2" borderId="0" numFmtId="0" xfId="0" applyFill="1" applyAlignment="1">
      <alignment horizontal="left"/>
    </xf>
    <xf fontId="1" fillId="0" borderId="0" numFmtId="0" xfId="0" applyFont="1" applyAlignment="1">
      <alignment horizontal="left" vertical="center"/>
    </xf>
    <xf fontId="1" fillId="0" borderId="6" numFmtId="0" xfId="0" applyFont="1" applyBorder="1" applyAlignment="1">
      <alignment horizontal="left" vertical="center"/>
    </xf>
    <xf fontId="1" fillId="0" borderId="4" numFmtId="164" xfId="0" applyNumberFormat="1" applyFont="1" applyBorder="1" applyAlignment="1">
      <alignment horizontal="right" vertical="center"/>
    </xf>
    <xf fontId="1" fillId="0" borderId="1" numFmtId="9" xfId="0" applyNumberFormat="1" applyFont="1" applyBorder="1" applyAlignment="1">
      <alignment horizontal="center" vertical="center"/>
    </xf>
    <xf fontId="1" fillId="0" borderId="2" numFmtId="9" xfId="0" applyNumberFormat="1" applyFont="1" applyBorder="1" applyAlignment="1">
      <alignment horizontal="center" vertical="center"/>
    </xf>
    <xf fontId="1" fillId="0" borderId="5" numFmtId="9" xfId="0" applyNumberFormat="1" applyFont="1" applyBorder="1" applyAlignment="1">
      <alignment horizontal="center" vertical="center"/>
    </xf>
    <xf fontId="1" fillId="0" borderId="6" numFmtId="9" xfId="0" applyNumberFormat="1" applyFont="1" applyBorder="1" applyAlignment="1">
      <alignment horizontal="center" vertical="center"/>
    </xf>
    <xf fontId="0" fillId="3" borderId="0" numFmtId="0" xfId="0" applyFill="1" applyAlignment="1">
      <alignment horizontal="left"/>
    </xf>
    <xf fontId="0" fillId="0" borderId="5" numFmtId="0" xfId="0" applyBorder="1" applyAlignment="1">
      <alignment horizontal="left" vertical="center"/>
    </xf>
    <xf fontId="0" fillId="0" borderId="1" numFmtId="0" xfId="0" applyBorder="1" applyAlignment="1">
      <alignment horizontal="left" vertical="center"/>
    </xf>
    <xf fontId="0" fillId="0" borderId="2" numFmtId="0" xfId="0" applyBorder="1" applyAlignment="1">
      <alignment horizontal="left" vertical="center"/>
    </xf>
    <xf fontId="0" fillId="4" borderId="0" numFmtId="0" xfId="0" applyFill="1" applyAlignment="1">
      <alignment horizontal="left"/>
    </xf>
    <xf fontId="1" fillId="0" borderId="5" numFmtId="164" xfId="0" applyNumberFormat="1" applyFont="1" applyBorder="1" applyAlignment="1">
      <alignment horizontal="right" vertical="center"/>
    </xf>
    <xf fontId="1" fillId="0" borderId="1" numFmtId="164" xfId="0" applyNumberFormat="1" applyFont="1" applyBorder="1" applyAlignment="1">
      <alignment horizontal="right" vertical="center"/>
    </xf>
    <xf fontId="1" fillId="0" borderId="7" numFmtId="0" xfId="0" applyFont="1" applyBorder="1" applyAlignment="1">
      <alignment horizontal="center" vertical="center"/>
    </xf>
    <xf fontId="0" fillId="0" borderId="6" numFmtId="0" xfId="0" applyBorder="1" applyAlignment="1">
      <alignment horizontal="left"/>
    </xf>
    <xf fontId="1" fillId="0" borderId="6" numFmtId="164" xfId="0" applyNumberFormat="1" applyFont="1" applyBorder="1" applyAlignment="1">
      <alignment horizontal="right" vertical="center"/>
    </xf>
    <xf fontId="0" fillId="0" borderId="6" numFmtId="0" xfId="0" applyBorder="1" applyAlignment="1">
      <alignment horizontal="left" vertical="center"/>
    </xf>
    <xf fontId="2" fillId="0" borderId="8" numFmtId="0" xfId="0" applyFont="1" applyBorder="1" applyAlignment="1">
      <alignment horizontal="left" vertical="center"/>
    </xf>
    <xf fontId="1" fillId="0" borderId="6" numFmtId="164" xfId="0" applyNumberFormat="1" applyFont="1" applyBorder="1" applyAlignment="1">
      <alignment horizontal="right"/>
    </xf>
    <xf fontId="1" fillId="0" borderId="6" numFmtId="9" xfId="0" applyNumberFormat="1" applyFont="1" applyBorder="1" applyAlignment="1">
      <alignment horizontal="right"/>
    </xf>
    <xf fontId="1" fillId="0" borderId="6" numFmtId="165" xfId="0" applyNumberFormat="1" applyFont="1" applyBorder="1" applyAlignment="1">
      <alignment horizontal="right"/>
    </xf>
    <xf fontId="2" fillId="0" borderId="6" numFmtId="0" xfId="0" applyFont="1" applyBorder="1" applyAlignment="1">
      <alignment horizontal="left" vertical="center"/>
    </xf>
    <xf fontId="2" fillId="0" borderId="6" numFmtId="164" xfId="0" applyNumberFormat="1" applyFont="1" applyBorder="1" applyAlignment="1">
      <alignment horizontal="right"/>
    </xf>
    <xf fontId="2" fillId="0" borderId="6" numFmtId="165" xfId="0" applyNumberFormat="1" applyFont="1" applyBorder="1" applyAlignment="1">
      <alignment horizontal="right"/>
    </xf>
    <xf fontId="1" fillId="0" borderId="6" numFmtId="0" xfId="0" applyFont="1" applyBorder="1" applyAlignment="1">
      <alignment horizontal="center" vertical="center" wrapText="1"/>
    </xf>
    <xf fontId="1" fillId="0" borderId="6" numFmtId="165" xfId="0" applyNumberFormat="1" applyFont="1" applyBorder="1" applyAlignment="1">
      <alignment horizontal="center" vertical="center"/>
    </xf>
    <xf fontId="0" fillId="0" borderId="7" numFmtId="0" xfId="0" applyBorder="1" applyAlignment="1">
      <alignment horizontal="left" vertical="center"/>
    </xf>
    <xf fontId="1" fillId="0" borderId="1" numFmtId="0" xfId="0" applyFont="1" applyBorder="1" applyAlignment="1">
      <alignment horizontal="left" vertical="center" wrapText="1"/>
    </xf>
    <xf fontId="0" fillId="5" borderId="2" numFmtId="0" xfId="0" applyFill="1" applyBorder="1" applyAlignment="1">
      <alignment horizontal="left" vertical="center"/>
    </xf>
    <xf fontId="1" fillId="0" borderId="2" numFmtId="0" xfId="0" applyFont="1" applyBorder="1" applyAlignment="1">
      <alignment horizontal="center" vertical="center" wrapText="1"/>
    </xf>
    <xf fontId="2" fillId="0" borderId="6" numFmtId="0" xfId="0" applyFont="1" applyBorder="1" applyAlignment="1">
      <alignment horizontal="center" vertical="center" wrapText="1"/>
    </xf>
    <xf fontId="1" fillId="0" borderId="6" numFmtId="0" xfId="0" applyFont="1" applyBorder="1" applyAlignment="1">
      <alignment horizontal="right" vertical="center"/>
    </xf>
    <xf fontId="1" fillId="0" borderId="6" numFmtId="0" xfId="0" applyFont="1" applyBorder="1" applyAlignment="1">
      <alignment horizontal="right"/>
    </xf>
    <xf fontId="1" fillId="0" borderId="6" numFmtId="165" xfId="0" applyNumberFormat="1" applyFont="1" applyBorder="1" applyAlignment="1">
      <alignment horizontal="right" vertical="center"/>
    </xf>
    <xf fontId="2" fillId="0" borderId="3" numFmtId="0" xfId="0" applyFont="1" applyBorder="1" applyAlignment="1">
      <alignment horizontal="center" vertical="center"/>
    </xf>
    <xf fontId="2" fillId="0" borderId="4" numFmtId="0" xfId="0" applyFont="1" applyBorder="1" applyAlignment="1">
      <alignment horizontal="center" vertical="center"/>
    </xf>
    <xf fontId="3" fillId="0" borderId="0" numFmtId="0" xfId="0" applyFont="1" applyAlignment="1">
      <alignment horizontal="left"/>
    </xf>
    <xf fontId="1" fillId="0" borderId="2" numFmtId="165" xfId="0" applyNumberFormat="1" applyFont="1" applyBorder="1" applyAlignment="1">
      <alignment horizontal="right" vertical="center"/>
    </xf>
    <xf fontId="2" fillId="0" borderId="5" numFmtId="0" xfId="0" applyFont="1" applyBorder="1" applyAlignment="1">
      <alignment horizontal="center" vertical="center"/>
    </xf>
    <xf fontId="0" fillId="0" borderId="9" numFmtId="0" xfId="0" applyBorder="1" applyAlignment="1">
      <alignment horizontal="left" vertical="center"/>
    </xf>
    <xf fontId="2" fillId="0" borderId="6" numFmtId="0" xfId="0" applyFont="1" applyBorder="1" applyAlignment="1">
      <alignment horizontal="left"/>
    </xf>
    <xf fontId="2" fillId="0" borderId="6" numFmtId="0" xfId="0" applyFont="1" applyBorder="1" applyAlignment="1">
      <alignment horizontal="center"/>
    </xf>
    <xf fontId="4" fillId="0" borderId="0" numFmtId="0" xfId="0" applyFont="1" applyAlignment="1">
      <alignment horizontal="left"/>
    </xf>
    <xf fontId="2" fillId="0" borderId="0" numFmtId="0" xfId="0" applyFont="1" applyAlignment="1">
      <alignment horizontal="left"/>
    </xf>
    <xf fontId="1" fillId="0" borderId="6" numFmtId="0" xfId="0" applyFont="1" applyBorder="1" applyAlignment="1">
      <alignment horizontal="center"/>
    </xf>
    <xf fontId="1" fillId="0" borderId="6" numFmtId="0" xfId="0" applyFont="1" applyBorder="1" applyAlignment="1">
      <alignment horizontal="left"/>
    </xf>
    <xf fontId="5" fillId="0" borderId="0" numFmtId="0" xfId="0" applyFont="1" applyAlignment="1">
      <alignment horizontal="left"/>
    </xf>
    <xf fontId="1" fillId="0" borderId="7" numFmtId="0" xfId="0" applyFont="1" applyBorder="1" applyAlignment="1">
      <alignment horizontal="right" vertical="center"/>
    </xf>
    <xf fontId="1" fillId="0" borderId="6" numFmtId="2" xfId="0" applyNumberFormat="1" applyFont="1" applyBorder="1" applyAlignment="1">
      <alignment horizontal="right" vertical="center"/>
    </xf>
    <xf fontId="0" fillId="0" borderId="4" numFmtId="0" xfId="0" applyBorder="1" applyAlignment="1">
      <alignment horizontal="left"/>
    </xf>
    <xf fontId="2" fillId="0" borderId="7" numFmtId="0" xfId="0" applyFont="1" applyBorder="1" applyAlignment="1">
      <alignment horizontal="center" vertical="center"/>
    </xf>
    <xf fontId="2" fillId="0" borderId="6" numFmtId="0" xfId="0" applyFont="1" applyBorder="1" applyAlignment="1">
      <alignment horizontal="center" vertical="center"/>
    </xf>
    <xf fontId="1" fillId="0" borderId="0" numFmtId="165" xfId="0" applyNumberFormat="1" applyFont="1" applyAlignment="1">
      <alignment horizontal="right"/>
    </xf>
    <xf fontId="0" fillId="0" borderId="5" numFmtId="0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9.140625"/>
    <col bestFit="1" min="2" max="2" width="6.7109375"/>
    <col bestFit="1" min="4" max="4" width="12.8515625"/>
    <col bestFit="1" min="5" max="5" width="7.57421875"/>
    <col bestFit="1" min="8" max="8" width="15.28125"/>
    <col bestFit="1" min="9" max="9" width="3.7109375"/>
  </cols>
  <sheetData>
    <row r="1" ht="14.25">
      <c r="A1" s="1" t="s">
        <v>0</v>
      </c>
      <c r="B1" s="2">
        <v>500</v>
      </c>
      <c r="C1" s="3"/>
      <c r="D1" s="4" t="s">
        <v>1</v>
      </c>
      <c r="E1" s="5"/>
      <c r="F1" s="3"/>
      <c r="G1" s="3"/>
      <c r="H1" s="6" t="s">
        <v>2</v>
      </c>
      <c r="I1" s="3"/>
    </row>
    <row r="2" ht="14.25">
      <c r="A2" s="1" t="s">
        <v>3</v>
      </c>
      <c r="B2" s="2">
        <v>20000</v>
      </c>
      <c r="C2" s="3"/>
      <c r="D2" s="1" t="s">
        <v>4</v>
      </c>
      <c r="E2" s="7">
        <v>3000</v>
      </c>
      <c r="F2" s="3"/>
      <c r="G2" s="3"/>
      <c r="H2" s="6" t="s">
        <v>5</v>
      </c>
      <c r="I2" s="8">
        <v>70</v>
      </c>
    </row>
    <row r="3" ht="14.25">
      <c r="A3" s="1" t="s">
        <v>6</v>
      </c>
      <c r="B3" s="2">
        <v>30000</v>
      </c>
      <c r="C3" s="3"/>
      <c r="D3" s="1" t="s">
        <v>7</v>
      </c>
      <c r="E3" s="7">
        <v>12000</v>
      </c>
      <c r="F3" s="3"/>
      <c r="G3" s="3"/>
      <c r="H3" s="6" t="s">
        <v>8</v>
      </c>
      <c r="I3" s="8">
        <v>82</v>
      </c>
    </row>
    <row r="4" ht="14.25">
      <c r="A4" s="1" t="s">
        <v>9</v>
      </c>
      <c r="B4" s="2">
        <v>30000</v>
      </c>
      <c r="C4" s="3"/>
      <c r="D4" s="1" t="s">
        <v>10</v>
      </c>
      <c r="E4" s="7">
        <v>17000</v>
      </c>
      <c r="F4" s="3"/>
      <c r="G4" s="3"/>
      <c r="H4" s="3"/>
      <c r="I4" s="8">
        <v>152</v>
      </c>
    </row>
    <row r="5" ht="14.25">
      <c r="A5" s="1" t="s">
        <v>11</v>
      </c>
      <c r="B5" s="2">
        <v>10000</v>
      </c>
      <c r="C5" s="3"/>
      <c r="D5" s="1" t="s">
        <v>12</v>
      </c>
      <c r="E5" s="7">
        <v>18000</v>
      </c>
      <c r="F5" s="3"/>
      <c r="G5" s="3"/>
      <c r="H5" s="3"/>
      <c r="I5" s="3"/>
    </row>
    <row r="6" ht="14.25">
      <c r="A6" s="1" t="s">
        <v>13</v>
      </c>
      <c r="B6" s="2">
        <v>1500</v>
      </c>
      <c r="C6" s="3"/>
      <c r="D6" s="3"/>
      <c r="E6" s="3"/>
      <c r="F6" s="3"/>
      <c r="G6" s="3"/>
      <c r="H6" s="3"/>
      <c r="I6" s="3"/>
    </row>
    <row r="7" ht="14.25">
      <c r="A7" s="1" t="s">
        <v>14</v>
      </c>
      <c r="B7" s="2">
        <v>2000</v>
      </c>
      <c r="C7" s="3"/>
      <c r="D7" s="3"/>
      <c r="E7" s="3"/>
      <c r="F7" s="3"/>
      <c r="G7" s="3"/>
      <c r="H7" s="3"/>
      <c r="I7" s="3"/>
    </row>
    <row r="8" ht="14.25">
      <c r="A8" s="1" t="s">
        <v>15</v>
      </c>
      <c r="B8" s="2">
        <v>2035</v>
      </c>
      <c r="C8" s="3"/>
      <c r="D8" s="3"/>
      <c r="E8" s="3"/>
      <c r="F8" s="3"/>
      <c r="G8" s="3"/>
      <c r="H8" s="3"/>
      <c r="I8" s="3"/>
    </row>
    <row r="9" ht="14.25">
      <c r="A9" s="1" t="s">
        <v>16</v>
      </c>
      <c r="B9" s="2">
        <v>1485</v>
      </c>
      <c r="C9" s="3"/>
      <c r="D9" s="3"/>
      <c r="E9" s="3"/>
      <c r="F9" s="3"/>
      <c r="G9" s="3"/>
      <c r="H9" s="3"/>
      <c r="I9" s="3"/>
    </row>
    <row r="10" ht="14.25">
      <c r="A10" s="1" t="s">
        <v>17</v>
      </c>
      <c r="B10" s="2">
        <v>8000</v>
      </c>
      <c r="C10" s="3"/>
      <c r="D10" s="3"/>
      <c r="E10" s="3"/>
      <c r="F10" s="3"/>
      <c r="G10" s="3"/>
      <c r="H10" s="3"/>
      <c r="I10" s="3"/>
    </row>
    <row r="11" ht="14.25">
      <c r="A11" s="1" t="s">
        <v>18</v>
      </c>
      <c r="B11" s="2">
        <v>50000</v>
      </c>
      <c r="C11" s="3"/>
      <c r="D11" s="3"/>
      <c r="E11" s="3"/>
      <c r="F11" s="3"/>
      <c r="G11" s="3"/>
      <c r="H11" s="3"/>
      <c r="I11" s="3"/>
    </row>
    <row r="12" ht="14.25">
      <c r="A12" s="1" t="s">
        <v>19</v>
      </c>
      <c r="B12" s="2">
        <v>2400</v>
      </c>
      <c r="C12" s="3"/>
      <c r="D12" s="3"/>
      <c r="E12" s="3"/>
      <c r="F12" s="3"/>
      <c r="G12" s="3"/>
      <c r="H12" s="3"/>
      <c r="I12" s="3"/>
    </row>
    <row r="13" ht="14.25">
      <c r="A13" s="1" t="s">
        <v>20</v>
      </c>
      <c r="B13" s="2">
        <v>5000</v>
      </c>
      <c r="C13" s="3"/>
      <c r="D13" s="3"/>
      <c r="E13" s="3"/>
      <c r="F13" s="3"/>
      <c r="G13" s="3"/>
      <c r="H13" s="3"/>
      <c r="I13" s="3"/>
    </row>
    <row r="14" ht="14.25">
      <c r="A14" s="1" t="s">
        <v>21</v>
      </c>
      <c r="B14" s="2">
        <v>1500</v>
      </c>
      <c r="C14" s="3"/>
      <c r="D14" s="3"/>
      <c r="E14" s="3"/>
      <c r="F14" s="3"/>
      <c r="G14" s="3"/>
      <c r="H14" s="3"/>
      <c r="I14" s="3"/>
    </row>
    <row r="15" ht="14.25">
      <c r="A15" s="1" t="s">
        <v>22</v>
      </c>
      <c r="B15" s="2">
        <v>164420</v>
      </c>
      <c r="C15" s="3"/>
      <c r="D15" s="3"/>
      <c r="E15" s="3"/>
      <c r="F15" s="3"/>
      <c r="G15" s="3"/>
      <c r="H15" s="3"/>
      <c r="I15" s="3"/>
    </row>
    <row r="16" ht="14.25">
      <c r="A16" s="3"/>
      <c r="B16" s="3"/>
      <c r="C16" s="3"/>
      <c r="D16" s="3"/>
      <c r="E16" s="3"/>
      <c r="F16" s="3"/>
      <c r="G16" s="3"/>
      <c r="H16" s="3"/>
      <c r="I16" s="3"/>
    </row>
    <row r="17" ht="14.25">
      <c r="A17" s="3"/>
      <c r="B17" s="3"/>
      <c r="C17" s="3"/>
      <c r="D17" s="3"/>
      <c r="E17" s="3"/>
      <c r="F17" s="3"/>
      <c r="G17" s="3"/>
      <c r="H17" s="3"/>
      <c r="I17" s="3"/>
    </row>
    <row r="18" ht="14.25">
      <c r="A18" s="9"/>
      <c r="B18" s="3"/>
      <c r="C18" s="3"/>
      <c r="D18" s="3"/>
      <c r="E18" s="3"/>
      <c r="F18" s="3"/>
      <c r="G18" s="3"/>
      <c r="H18" s="3"/>
      <c r="I18" s="3"/>
    </row>
    <row r="19" ht="14.25">
      <c r="A19" s="6" t="s">
        <v>23</v>
      </c>
      <c r="B19" s="3"/>
      <c r="C19" s="3"/>
      <c r="D19" s="6" t="s">
        <v>24</v>
      </c>
      <c r="E19" s="3"/>
      <c r="F19" s="3"/>
      <c r="G19" s="3"/>
      <c r="H19" s="3"/>
      <c r="I19" s="3"/>
    </row>
    <row r="20" ht="14.25">
      <c r="A20" s="6" t="s">
        <v>5</v>
      </c>
      <c r="B20" s="8">
        <v>1850</v>
      </c>
      <c r="C20" s="3"/>
      <c r="D20" s="8">
        <v>1825</v>
      </c>
      <c r="E20" s="3"/>
      <c r="F20" s="3"/>
      <c r="G20" s="3"/>
      <c r="H20" s="3"/>
      <c r="I20" s="3"/>
    </row>
    <row r="21" ht="14.25">
      <c r="A21" s="6" t="s">
        <v>8</v>
      </c>
      <c r="B21" s="8">
        <v>1350</v>
      </c>
      <c r="C21" s="3"/>
      <c r="D21" s="8">
        <v>1325</v>
      </c>
      <c r="E21" s="3"/>
      <c r="F21" s="3"/>
      <c r="G21" s="3"/>
      <c r="H21" s="3"/>
      <c r="I21" s="3"/>
    </row>
    <row r="22" ht="14.25">
      <c r="A22" s="3"/>
      <c r="B22" s="8">
        <v>3200</v>
      </c>
      <c r="C22" s="3"/>
      <c r="D22" s="8">
        <v>3150</v>
      </c>
      <c r="E22" s="3"/>
      <c r="F22" s="3"/>
      <c r="G22" s="3"/>
      <c r="H22" s="3"/>
      <c r="I22" s="3"/>
    </row>
    <row r="23" ht="14.25">
      <c r="A23" s="3"/>
      <c r="B23" s="3"/>
      <c r="C23" s="3"/>
      <c r="D23" s="3"/>
      <c r="E23" s="3"/>
      <c r="F23" s="3"/>
      <c r="G23" s="3"/>
      <c r="H23" s="3"/>
      <c r="I23" s="3"/>
    </row>
    <row r="24" ht="14.25">
      <c r="A24" s="10" t="s">
        <v>25</v>
      </c>
      <c r="B24" s="11" t="s">
        <v>26</v>
      </c>
      <c r="C24" s="3"/>
      <c r="D24" s="3"/>
      <c r="E24" s="3"/>
      <c r="F24" s="3"/>
      <c r="G24" s="3"/>
      <c r="H24" s="3"/>
      <c r="I24" s="3"/>
    </row>
    <row r="25" ht="14.25">
      <c r="A25" s="1" t="s">
        <v>27</v>
      </c>
      <c r="B25" s="2">
        <v>6400</v>
      </c>
      <c r="C25" s="3"/>
      <c r="D25" s="3"/>
      <c r="E25" s="3"/>
      <c r="F25" s="3"/>
      <c r="G25" s="3"/>
      <c r="H25" s="3"/>
      <c r="I25" s="3"/>
    </row>
    <row r="26" ht="14.25">
      <c r="A26" s="1" t="s">
        <v>6</v>
      </c>
      <c r="B26" s="2">
        <v>3200</v>
      </c>
      <c r="C26" s="3"/>
      <c r="D26" s="3"/>
      <c r="E26" s="3"/>
      <c r="F26" s="3"/>
      <c r="G26" s="3"/>
      <c r="H26" s="3"/>
      <c r="I26" s="3"/>
    </row>
    <row r="27" ht="14.25">
      <c r="A27" s="1" t="s">
        <v>9</v>
      </c>
      <c r="B27" s="2">
        <v>3200</v>
      </c>
      <c r="C27" s="3"/>
      <c r="D27" s="3"/>
      <c r="E27" s="3"/>
      <c r="F27" s="3"/>
      <c r="G27" s="3"/>
      <c r="H27" s="3"/>
      <c r="I27" s="3"/>
    </row>
    <row r="28" ht="14.25">
      <c r="A28" s="1" t="s">
        <v>11</v>
      </c>
      <c r="B28" s="2">
        <v>3200</v>
      </c>
      <c r="C28" s="3"/>
      <c r="D28" s="3"/>
      <c r="E28" s="3"/>
      <c r="F28" s="3"/>
      <c r="G28" s="3"/>
      <c r="H28" s="3"/>
      <c r="I28" s="3"/>
    </row>
    <row r="29" ht="14.25">
      <c r="A29" s="1" t="s">
        <v>28</v>
      </c>
      <c r="B29" s="2">
        <v>1350</v>
      </c>
      <c r="C29" s="3"/>
      <c r="D29" s="3"/>
      <c r="E29" s="3"/>
      <c r="F29" s="3"/>
      <c r="G29" s="3"/>
      <c r="H29" s="3"/>
      <c r="I29" s="3"/>
    </row>
    <row r="30" ht="14.25">
      <c r="A30" s="1" t="s">
        <v>29</v>
      </c>
      <c r="B30" s="2">
        <v>1850</v>
      </c>
      <c r="C30" s="3"/>
      <c r="D30" s="3"/>
      <c r="E30" s="3"/>
      <c r="F30" s="3"/>
      <c r="G30" s="3"/>
      <c r="H30" s="3"/>
      <c r="I30" s="3"/>
    </row>
    <row r="31" ht="14.25">
      <c r="A31" s="1" t="s">
        <v>30</v>
      </c>
      <c r="B31" s="2">
        <v>1850</v>
      </c>
      <c r="C31" s="3"/>
      <c r="D31" s="3"/>
      <c r="E31" s="3"/>
      <c r="F31" s="3"/>
      <c r="G31" s="3"/>
      <c r="H31" s="3"/>
      <c r="I31" s="3"/>
    </row>
    <row r="32" ht="14.25">
      <c r="A32" s="1" t="s">
        <v>31</v>
      </c>
      <c r="B32" s="2">
        <v>1350</v>
      </c>
      <c r="C32" s="3"/>
      <c r="D32" s="3"/>
      <c r="E32" s="3"/>
      <c r="F32" s="3"/>
      <c r="G32" s="3"/>
      <c r="H32" s="3"/>
      <c r="I32" s="3"/>
    </row>
    <row r="33" ht="14.25">
      <c r="A33" s="1" t="s">
        <v>17</v>
      </c>
      <c r="B33" s="2">
        <v>3200</v>
      </c>
      <c r="C33" s="3"/>
      <c r="D33" s="3"/>
      <c r="E33" s="3"/>
      <c r="F33" s="3"/>
      <c r="G33" s="3"/>
      <c r="H33" s="3"/>
      <c r="I33" s="3"/>
    </row>
  </sheetData>
  <mergeCells count="1">
    <mergeCell ref="D1:E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1" zoomScale="100" workbookViewId="0">
      <selection activeCell="A1" activeCellId="0" sqref="A1"/>
    </sheetView>
  </sheetViews>
  <sheetFormatPr defaultRowHeight="15"/>
  <cols>
    <col bestFit="1" min="1" max="1" width="30.00390625"/>
    <col bestFit="1" min="2" max="2" width="8.57421875"/>
    <col bestFit="1" min="3" max="3" width="13.421875"/>
    <col bestFit="1" min="4" max="4" width="13.57421875"/>
    <col bestFit="1" min="5" max="5" width="12.140625"/>
    <col bestFit="1" min="6" max="7" width="16.57421875"/>
    <col bestFit="1" min="8" max="8" width="11.28125"/>
    <col bestFit="1" min="10" max="10" width="24.140625"/>
  </cols>
  <sheetData>
    <row r="1">
      <c r="A1" s="3"/>
      <c r="B1" s="3"/>
      <c r="C1" s="4" t="s">
        <v>32</v>
      </c>
      <c r="D1" s="5"/>
      <c r="E1" s="4" t="s">
        <v>33</v>
      </c>
      <c r="F1" s="5"/>
      <c r="G1" s="5"/>
      <c r="H1" s="3"/>
      <c r="I1" s="3"/>
      <c r="J1" s="3"/>
    </row>
    <row r="2">
      <c r="A2" s="3"/>
      <c r="B2" s="3"/>
      <c r="C2" s="12" t="s">
        <v>19</v>
      </c>
      <c r="D2" s="13" t="s">
        <v>34</v>
      </c>
      <c r="E2" s="14" t="s">
        <v>35</v>
      </c>
      <c r="F2" s="15" t="s">
        <v>36</v>
      </c>
      <c r="G2" s="16" t="s">
        <v>37</v>
      </c>
      <c r="H2" s="17" t="s">
        <v>22</v>
      </c>
      <c r="I2" s="18"/>
      <c r="J2" s="19" t="s">
        <v>38</v>
      </c>
    </row>
    <row r="3">
      <c r="A3" s="20" t="s">
        <v>0</v>
      </c>
      <c r="B3" s="21">
        <v>500</v>
      </c>
      <c r="C3" s="22">
        <v>0.25</v>
      </c>
      <c r="D3" s="23">
        <v>0.050000000000000003</v>
      </c>
      <c r="E3" s="23">
        <v>0.050000000000000003</v>
      </c>
      <c r="F3" s="23">
        <v>0.59999999999999998</v>
      </c>
      <c r="G3" s="24">
        <v>0.050000000000000003</v>
      </c>
      <c r="H3" s="25">
        <v>1</v>
      </c>
      <c r="I3" s="26"/>
      <c r="J3" s="6" t="s">
        <v>39</v>
      </c>
    </row>
    <row r="4">
      <c r="A4" s="1" t="s">
        <v>18</v>
      </c>
      <c r="B4" s="27"/>
      <c r="C4" s="28"/>
      <c r="D4" s="29"/>
      <c r="E4" s="29"/>
      <c r="F4" s="29"/>
      <c r="G4" s="27"/>
      <c r="H4" s="25">
        <v>0</v>
      </c>
      <c r="I4" s="30"/>
      <c r="J4" s="6" t="s">
        <v>40</v>
      </c>
    </row>
    <row r="5">
      <c r="A5" s="1" t="s">
        <v>41</v>
      </c>
      <c r="B5" s="31">
        <v>3000</v>
      </c>
      <c r="C5" s="22">
        <v>1</v>
      </c>
      <c r="D5" s="29"/>
      <c r="E5" s="29"/>
      <c r="F5" s="29"/>
      <c r="G5" s="27"/>
      <c r="H5" s="25">
        <v>1</v>
      </c>
      <c r="I5" s="3"/>
      <c r="J5" s="3"/>
    </row>
    <row r="6">
      <c r="A6" s="1" t="s">
        <v>42</v>
      </c>
      <c r="B6" s="31">
        <v>12000</v>
      </c>
      <c r="C6" s="28"/>
      <c r="D6" s="29"/>
      <c r="E6" s="29"/>
      <c r="F6" s="23">
        <v>1</v>
      </c>
      <c r="G6" s="27"/>
      <c r="H6" s="25">
        <v>1</v>
      </c>
      <c r="I6" s="3"/>
      <c r="J6" s="3"/>
    </row>
    <row r="7">
      <c r="A7" s="1" t="s">
        <v>43</v>
      </c>
      <c r="B7" s="31">
        <v>17000</v>
      </c>
      <c r="C7" s="28"/>
      <c r="D7" s="29"/>
      <c r="E7" s="23">
        <v>1</v>
      </c>
      <c r="F7" s="29"/>
      <c r="G7" s="27"/>
      <c r="H7" s="25">
        <v>1</v>
      </c>
      <c r="I7" s="3"/>
      <c r="J7" s="3"/>
    </row>
    <row r="8">
      <c r="A8" s="1" t="s">
        <v>44</v>
      </c>
      <c r="B8" s="31">
        <v>18000</v>
      </c>
      <c r="C8" s="28"/>
      <c r="D8" s="23">
        <v>0.20000000000000001</v>
      </c>
      <c r="E8" s="29"/>
      <c r="F8" s="29"/>
      <c r="G8" s="24">
        <v>0.80000000000000004</v>
      </c>
      <c r="H8" s="25">
        <v>1</v>
      </c>
      <c r="I8" s="3"/>
      <c r="J8" s="3"/>
    </row>
    <row r="9">
      <c r="A9" s="1" t="s">
        <v>19</v>
      </c>
      <c r="B9" s="31">
        <v>2400</v>
      </c>
      <c r="C9" s="22">
        <v>1</v>
      </c>
      <c r="D9" s="29"/>
      <c r="E9" s="29"/>
      <c r="F9" s="29"/>
      <c r="G9" s="27"/>
      <c r="H9" s="25">
        <v>1</v>
      </c>
      <c r="I9" s="3"/>
      <c r="J9" s="3"/>
    </row>
    <row r="10">
      <c r="A10" s="1" t="s">
        <v>20</v>
      </c>
      <c r="B10" s="31">
        <v>5000</v>
      </c>
      <c r="C10" s="28"/>
      <c r="D10" s="29"/>
      <c r="E10" s="29"/>
      <c r="F10" s="29"/>
      <c r="G10" s="24">
        <v>1</v>
      </c>
      <c r="H10" s="25">
        <v>1</v>
      </c>
      <c r="I10" s="3"/>
      <c r="J10" s="3"/>
    </row>
    <row r="11">
      <c r="A11" s="1" t="s">
        <v>21</v>
      </c>
      <c r="B11" s="31">
        <v>1500</v>
      </c>
      <c r="C11" s="28"/>
      <c r="D11" s="29"/>
      <c r="E11" s="29"/>
      <c r="F11" s="29"/>
      <c r="G11" s="24">
        <v>1</v>
      </c>
      <c r="H11" s="25">
        <v>1</v>
      </c>
      <c r="I11" s="3"/>
      <c r="J11" s="3"/>
    </row>
    <row r="12">
      <c r="A12" s="3"/>
      <c r="B12" s="32">
        <v>59400</v>
      </c>
      <c r="C12" s="3"/>
      <c r="D12" s="3"/>
      <c r="E12" s="3"/>
      <c r="F12" s="3"/>
      <c r="G12" s="3"/>
      <c r="H12" s="3"/>
      <c r="I12" s="3"/>
      <c r="J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</row>
    <row r="15">
      <c r="A15" s="3"/>
      <c r="B15" s="3"/>
      <c r="C15" s="4" t="s">
        <v>32</v>
      </c>
      <c r="D15" s="33"/>
      <c r="E15" s="4" t="s">
        <v>33</v>
      </c>
      <c r="F15" s="5"/>
      <c r="G15" s="33"/>
      <c r="H15" s="34"/>
      <c r="I15" s="3"/>
      <c r="J15" s="3"/>
    </row>
    <row r="16">
      <c r="A16" s="3"/>
      <c r="B16" s="3"/>
      <c r="C16" s="17" t="s">
        <v>19</v>
      </c>
      <c r="D16" s="17" t="s">
        <v>34</v>
      </c>
      <c r="E16" s="17" t="s">
        <v>35</v>
      </c>
      <c r="F16" s="17" t="s">
        <v>36</v>
      </c>
      <c r="G16" s="17" t="s">
        <v>37</v>
      </c>
      <c r="H16" s="17" t="s">
        <v>22</v>
      </c>
      <c r="I16" s="3"/>
      <c r="J16" s="3"/>
    </row>
    <row r="17">
      <c r="A17" s="20" t="s">
        <v>0</v>
      </c>
      <c r="B17" s="35">
        <v>500</v>
      </c>
      <c r="C17" s="17" t="s">
        <v>45</v>
      </c>
      <c r="D17" s="17" t="s">
        <v>46</v>
      </c>
      <c r="E17" s="17" t="s">
        <v>46</v>
      </c>
      <c r="F17" s="17" t="s">
        <v>47</v>
      </c>
      <c r="G17" s="17" t="s">
        <v>46</v>
      </c>
      <c r="H17" s="17" t="s">
        <v>48</v>
      </c>
      <c r="I17" s="3"/>
      <c r="J17" s="3"/>
    </row>
    <row r="18">
      <c r="A18" s="20" t="s">
        <v>18</v>
      </c>
      <c r="B18" s="36"/>
      <c r="C18" s="17" t="s">
        <v>49</v>
      </c>
      <c r="D18" s="17" t="s">
        <v>50</v>
      </c>
      <c r="E18" s="17" t="s">
        <v>50</v>
      </c>
      <c r="F18" s="17" t="s">
        <v>50</v>
      </c>
      <c r="G18" s="17" t="s">
        <v>50</v>
      </c>
      <c r="H18" s="17" t="s">
        <v>50</v>
      </c>
      <c r="I18" s="3"/>
      <c r="J18" s="3"/>
    </row>
    <row r="19">
      <c r="A19" s="20" t="s">
        <v>41</v>
      </c>
      <c r="B19" s="35">
        <v>3000</v>
      </c>
      <c r="C19" s="17" t="s">
        <v>51</v>
      </c>
      <c r="D19" s="17" t="s">
        <v>50</v>
      </c>
      <c r="E19" s="17" t="s">
        <v>50</v>
      </c>
      <c r="F19" s="17" t="s">
        <v>50</v>
      </c>
      <c r="G19" s="17" t="s">
        <v>50</v>
      </c>
      <c r="H19" s="17" t="s">
        <v>52</v>
      </c>
      <c r="I19" s="3"/>
      <c r="J19" s="3"/>
    </row>
    <row r="20">
      <c r="A20" s="20" t="s">
        <v>42</v>
      </c>
      <c r="B20" s="35">
        <v>12000</v>
      </c>
      <c r="C20" s="17" t="s">
        <v>49</v>
      </c>
      <c r="D20" s="17" t="s">
        <v>50</v>
      </c>
      <c r="E20" s="17" t="s">
        <v>50</v>
      </c>
      <c r="F20" s="17" t="s">
        <v>53</v>
      </c>
      <c r="G20" s="17" t="s">
        <v>50</v>
      </c>
      <c r="H20" s="17" t="s">
        <v>53</v>
      </c>
      <c r="I20" s="3"/>
      <c r="J20" s="3"/>
    </row>
    <row r="21">
      <c r="A21" s="20" t="s">
        <v>43</v>
      </c>
      <c r="B21" s="35">
        <v>17000</v>
      </c>
      <c r="C21" s="17" t="s">
        <v>49</v>
      </c>
      <c r="D21" s="17" t="s">
        <v>50</v>
      </c>
      <c r="E21" s="17" t="s">
        <v>54</v>
      </c>
      <c r="F21" s="17" t="s">
        <v>50</v>
      </c>
      <c r="G21" s="17" t="s">
        <v>50</v>
      </c>
      <c r="H21" s="17" t="s">
        <v>54</v>
      </c>
      <c r="I21" s="3"/>
      <c r="J21" s="3"/>
    </row>
    <row r="22">
      <c r="A22" s="20" t="s">
        <v>44</v>
      </c>
      <c r="B22" s="35">
        <v>18000</v>
      </c>
      <c r="C22" s="17" t="s">
        <v>49</v>
      </c>
      <c r="D22" s="17" t="s">
        <v>55</v>
      </c>
      <c r="E22" s="17" t="s">
        <v>50</v>
      </c>
      <c r="F22" s="17" t="s">
        <v>50</v>
      </c>
      <c r="G22" s="17" t="s">
        <v>56</v>
      </c>
      <c r="H22" s="17" t="s">
        <v>57</v>
      </c>
      <c r="I22" s="3"/>
      <c r="J22" s="3"/>
    </row>
    <row r="23">
      <c r="A23" s="20" t="s">
        <v>19</v>
      </c>
      <c r="B23" s="35">
        <v>2400</v>
      </c>
      <c r="C23" s="17" t="s">
        <v>58</v>
      </c>
      <c r="D23" s="17" t="s">
        <v>50</v>
      </c>
      <c r="E23" s="17" t="s">
        <v>50</v>
      </c>
      <c r="F23" s="17" t="s">
        <v>50</v>
      </c>
      <c r="G23" s="17" t="s">
        <v>50</v>
      </c>
      <c r="H23" s="17" t="s">
        <v>59</v>
      </c>
      <c r="I23" s="3"/>
      <c r="J23" s="3"/>
    </row>
    <row r="24">
      <c r="A24" s="20" t="s">
        <v>20</v>
      </c>
      <c r="B24" s="35">
        <v>5000</v>
      </c>
      <c r="C24" s="17" t="s">
        <v>49</v>
      </c>
      <c r="D24" s="17" t="s">
        <v>50</v>
      </c>
      <c r="E24" s="17" t="s">
        <v>50</v>
      </c>
      <c r="F24" s="17" t="s">
        <v>50</v>
      </c>
      <c r="G24" s="17" t="s">
        <v>60</v>
      </c>
      <c r="H24" s="17" t="s">
        <v>60</v>
      </c>
      <c r="I24" s="3"/>
      <c r="J24" s="3"/>
    </row>
    <row r="25">
      <c r="A25" s="20" t="s">
        <v>21</v>
      </c>
      <c r="B25" s="35">
        <v>1500</v>
      </c>
      <c r="C25" s="17" t="s">
        <v>49</v>
      </c>
      <c r="D25" s="17" t="s">
        <v>50</v>
      </c>
      <c r="E25" s="17" t="s">
        <v>50</v>
      </c>
      <c r="F25" s="17" t="s">
        <v>50</v>
      </c>
      <c r="G25" s="17" t="s">
        <v>61</v>
      </c>
      <c r="H25" s="17" t="s">
        <v>61</v>
      </c>
      <c r="I25" s="3"/>
      <c r="J25" s="3"/>
    </row>
    <row r="26">
      <c r="A26" s="20" t="s">
        <v>22</v>
      </c>
      <c r="B26" s="35">
        <v>59400</v>
      </c>
      <c r="C26" s="35">
        <v>5525</v>
      </c>
      <c r="D26" s="35">
        <v>3625</v>
      </c>
      <c r="E26" s="35">
        <v>17025</v>
      </c>
      <c r="F26" s="35">
        <v>12300</v>
      </c>
      <c r="G26" s="35">
        <v>20925</v>
      </c>
      <c r="H26" s="34"/>
      <c r="I26" s="3"/>
      <c r="J26" s="3"/>
    </row>
    <row r="27">
      <c r="A27" s="37" t="s">
        <v>62</v>
      </c>
      <c r="B27" s="3"/>
      <c r="C27" s="3"/>
      <c r="D27" s="3"/>
      <c r="E27" s="3"/>
      <c r="F27" s="3"/>
      <c r="G27" s="3"/>
      <c r="H27" s="3"/>
      <c r="I27" s="3"/>
      <c r="J27" s="3"/>
    </row>
    <row r="28">
      <c r="A28" s="17" t="s">
        <v>19</v>
      </c>
      <c r="B28" s="38">
        <v>5525</v>
      </c>
      <c r="C28" s="39">
        <v>-1</v>
      </c>
      <c r="D28" s="34"/>
      <c r="E28" s="39">
        <v>0.25</v>
      </c>
      <c r="F28" s="39">
        <v>0.5</v>
      </c>
      <c r="G28" s="39">
        <v>0.25</v>
      </c>
      <c r="H28" s="25">
        <v>0</v>
      </c>
      <c r="I28" s="3"/>
      <c r="J28" s="3"/>
    </row>
    <row r="29">
      <c r="A29" s="17" t="s">
        <v>34</v>
      </c>
      <c r="B29" s="38">
        <v>3625</v>
      </c>
      <c r="C29" s="34"/>
      <c r="D29" s="39">
        <v>-1</v>
      </c>
      <c r="E29" s="39">
        <v>0.25</v>
      </c>
      <c r="F29" s="39">
        <v>0.25</v>
      </c>
      <c r="G29" s="39">
        <v>0.5</v>
      </c>
      <c r="H29" s="25">
        <v>0</v>
      </c>
      <c r="I29" s="3"/>
      <c r="J29" s="3"/>
    </row>
    <row r="30">
      <c r="A30" s="34"/>
      <c r="B30" s="34"/>
      <c r="C30" s="34"/>
      <c r="D30" s="34"/>
      <c r="E30" s="34"/>
      <c r="F30" s="34"/>
      <c r="G30" s="34"/>
      <c r="H30" s="34"/>
      <c r="I30" s="3"/>
      <c r="J30" s="3"/>
    </row>
    <row r="31">
      <c r="A31" s="17" t="s">
        <v>19</v>
      </c>
      <c r="B31" s="38">
        <v>5525</v>
      </c>
      <c r="C31" s="38">
        <v>-5525</v>
      </c>
      <c r="D31" s="38">
        <v>0</v>
      </c>
      <c r="E31" s="40">
        <v>1381.25</v>
      </c>
      <c r="F31" s="40">
        <v>2762.5</v>
      </c>
      <c r="G31" s="40">
        <v>1381.25</v>
      </c>
      <c r="H31" s="25">
        <v>0</v>
      </c>
      <c r="I31" s="3"/>
      <c r="J31" s="3"/>
    </row>
    <row r="32">
      <c r="A32" s="17" t="s">
        <v>34</v>
      </c>
      <c r="B32" s="38">
        <v>3625</v>
      </c>
      <c r="C32" s="38">
        <v>0</v>
      </c>
      <c r="D32" s="38">
        <v>-3625</v>
      </c>
      <c r="E32" s="40">
        <v>906.25</v>
      </c>
      <c r="F32" s="40">
        <v>906.25</v>
      </c>
      <c r="G32" s="40">
        <v>1812.5</v>
      </c>
      <c r="H32" s="25">
        <v>0</v>
      </c>
      <c r="I32" s="3"/>
      <c r="J32" s="3"/>
    </row>
    <row r="33">
      <c r="A33" s="17" t="s">
        <v>22</v>
      </c>
      <c r="B33" s="34"/>
      <c r="C33" s="38">
        <v>-5525</v>
      </c>
      <c r="D33" s="38">
        <v>-3625</v>
      </c>
      <c r="E33" s="40">
        <v>2287.5</v>
      </c>
      <c r="F33" s="40">
        <v>3668.75</v>
      </c>
      <c r="G33" s="40">
        <v>3193.75</v>
      </c>
      <c r="H33" s="38">
        <v>0</v>
      </c>
      <c r="I33" s="3"/>
      <c r="J33" s="3"/>
    </row>
    <row r="34">
      <c r="A34" s="41" t="s">
        <v>63</v>
      </c>
      <c r="B34" s="34"/>
      <c r="C34" s="42">
        <v>0</v>
      </c>
      <c r="D34" s="42">
        <v>0</v>
      </c>
      <c r="E34" s="43">
        <v>19312.5</v>
      </c>
      <c r="F34" s="43">
        <v>15968.75</v>
      </c>
      <c r="G34" s="43">
        <v>24118.75</v>
      </c>
      <c r="H34" s="42">
        <v>59400</v>
      </c>
      <c r="I34" s="3"/>
      <c r="J34" s="3"/>
    </row>
    <row r="35" ht="28.5">
      <c r="A35" s="20" t="s">
        <v>64</v>
      </c>
      <c r="B35" s="34"/>
      <c r="C35" s="34"/>
      <c r="D35" s="34"/>
      <c r="E35" s="44" t="s">
        <v>65</v>
      </c>
      <c r="F35" s="44" t="s">
        <v>66</v>
      </c>
      <c r="G35" s="44" t="s">
        <v>67</v>
      </c>
      <c r="H35" s="34"/>
      <c r="I35" s="3"/>
      <c r="J35" s="3"/>
    </row>
    <row r="36">
      <c r="A36" s="20" t="s">
        <v>68</v>
      </c>
      <c r="B36" s="34"/>
      <c r="C36" s="34"/>
      <c r="D36" s="34"/>
      <c r="E36" s="17">
        <v>1050.2</v>
      </c>
      <c r="F36" s="17">
        <v>152</v>
      </c>
      <c r="G36" s="17">
        <v>17700</v>
      </c>
      <c r="H36" s="34"/>
      <c r="I36" s="3"/>
      <c r="J36" s="3"/>
    </row>
    <row r="37">
      <c r="A37" s="20" t="s">
        <v>69</v>
      </c>
      <c r="B37" s="34"/>
      <c r="C37" s="34"/>
      <c r="D37" s="34"/>
      <c r="E37" s="45">
        <v>18.390000000000001</v>
      </c>
      <c r="F37" s="45">
        <v>105.05756599999999</v>
      </c>
      <c r="G37" s="45">
        <v>1.3600000000000001</v>
      </c>
      <c r="H37" s="34"/>
      <c r="I37" s="3"/>
      <c r="J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</row>
    <row r="46">
      <c r="A46" s="3"/>
      <c r="B46" s="4" t="s">
        <v>70</v>
      </c>
      <c r="C46" s="5"/>
      <c r="D46" s="4" t="s">
        <v>71</v>
      </c>
      <c r="E46" s="5"/>
      <c r="F46" s="5"/>
      <c r="G46" s="46"/>
      <c r="H46" s="3"/>
      <c r="I46" s="3"/>
      <c r="J46" s="3"/>
    </row>
    <row r="47">
      <c r="A47" s="3"/>
      <c r="B47" s="12" t="s">
        <v>19</v>
      </c>
      <c r="C47" s="13" t="s">
        <v>34</v>
      </c>
      <c r="D47" s="13" t="s">
        <v>35</v>
      </c>
      <c r="E47" s="13" t="s">
        <v>36</v>
      </c>
      <c r="F47" s="13" t="s">
        <v>37</v>
      </c>
      <c r="G47" s="13" t="s">
        <v>22</v>
      </c>
      <c r="H47" s="3"/>
      <c r="I47" s="3"/>
      <c r="J47" s="3"/>
    </row>
    <row r="48">
      <c r="A48" s="20" t="s">
        <v>72</v>
      </c>
      <c r="B48" s="29"/>
      <c r="C48" s="29"/>
      <c r="D48" s="29"/>
      <c r="E48" s="29"/>
      <c r="F48" s="29"/>
      <c r="G48" s="29"/>
      <c r="H48" s="3"/>
      <c r="I48" s="3"/>
      <c r="J48" s="3"/>
    </row>
    <row r="49">
      <c r="A49" s="1" t="s">
        <v>19</v>
      </c>
      <c r="B49" s="29"/>
      <c r="C49" s="29"/>
      <c r="D49" s="29"/>
      <c r="E49" s="29"/>
      <c r="F49" s="29"/>
      <c r="G49" s="29"/>
      <c r="H49" s="3"/>
      <c r="I49" s="3"/>
      <c r="J49" s="3"/>
    </row>
    <row r="50">
      <c r="A50" s="1" t="s">
        <v>34</v>
      </c>
      <c r="B50" s="29"/>
      <c r="C50" s="29"/>
      <c r="D50" s="29"/>
      <c r="E50" s="29"/>
      <c r="F50" s="29"/>
      <c r="G50" s="29"/>
      <c r="H50" s="3"/>
      <c r="I50" s="3"/>
      <c r="J50" s="3"/>
    </row>
    <row r="51">
      <c r="A51" s="1" t="s">
        <v>73</v>
      </c>
      <c r="B51" s="29"/>
      <c r="C51" s="29"/>
      <c r="D51" s="29"/>
      <c r="E51" s="29"/>
      <c r="F51" s="29"/>
      <c r="G51" s="29"/>
      <c r="H51" s="3"/>
      <c r="I51" s="3"/>
      <c r="J51" s="3"/>
    </row>
    <row r="52" ht="28.5">
      <c r="A52" s="47" t="s">
        <v>74</v>
      </c>
      <c r="B52" s="48"/>
      <c r="C52" s="48"/>
      <c r="D52" s="49" t="s">
        <v>65</v>
      </c>
      <c r="E52" s="49" t="s">
        <v>66</v>
      </c>
      <c r="F52" s="49" t="s">
        <v>67</v>
      </c>
      <c r="G52" s="29"/>
      <c r="H52" s="3"/>
      <c r="I52" s="3"/>
      <c r="J52" s="3"/>
    </row>
    <row r="53">
      <c r="A53" s="47" t="s">
        <v>68</v>
      </c>
      <c r="B53" s="48"/>
      <c r="C53" s="48"/>
      <c r="D53" s="29"/>
      <c r="E53" s="29"/>
      <c r="F53" s="29"/>
      <c r="G53" s="29"/>
      <c r="H53" s="3"/>
      <c r="I53" s="3"/>
      <c r="J53" s="3"/>
    </row>
    <row r="54">
      <c r="A54" s="47" t="s">
        <v>75</v>
      </c>
      <c r="B54" s="48"/>
      <c r="C54" s="48"/>
      <c r="D54" s="29"/>
      <c r="E54" s="29"/>
      <c r="F54" s="29"/>
      <c r="G54" s="29"/>
      <c r="H54" s="3"/>
      <c r="I54" s="3"/>
      <c r="J54" s="3"/>
    </row>
  </sheetData>
  <mergeCells count="6">
    <mergeCell ref="C1:D1"/>
    <mergeCell ref="E1:G1"/>
    <mergeCell ref="C15:D15"/>
    <mergeCell ref="E15:G15"/>
    <mergeCell ref="B46:C46"/>
    <mergeCell ref="D46:F46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8.140625"/>
    <col bestFit="1" min="2" max="2" width="7.00390625"/>
    <col bestFit="1" min="3" max="3" width="6.421875"/>
    <col bestFit="1" min="4" max="4" width="11.28125"/>
    <col bestFit="1" min="5" max="5" width="10.140625"/>
    <col bestFit="1" min="6" max="6" width="11.140625"/>
    <col bestFit="1" min="7" max="7" width="8.57421875"/>
    <col bestFit="1" min="9" max="9" width="70.7109375"/>
  </cols>
  <sheetData>
    <row r="1" ht="42.75">
      <c r="A1" s="34"/>
      <c r="B1" s="50" t="s">
        <v>76</v>
      </c>
      <c r="C1" s="50" t="s">
        <v>77</v>
      </c>
      <c r="D1" s="50" t="s">
        <v>78</v>
      </c>
      <c r="E1" s="50" t="s">
        <v>79</v>
      </c>
      <c r="F1" s="50" t="s">
        <v>80</v>
      </c>
      <c r="G1" s="50" t="s">
        <v>81</v>
      </c>
      <c r="H1" s="3"/>
      <c r="I1" s="3"/>
    </row>
    <row r="2" ht="14.25">
      <c r="A2" s="20" t="s">
        <v>3</v>
      </c>
      <c r="B2" s="51">
        <v>20000</v>
      </c>
      <c r="C2" s="52">
        <v>6400</v>
      </c>
      <c r="D2" s="52">
        <v>3.125</v>
      </c>
      <c r="E2" s="53">
        <v>3677.8699999999999</v>
      </c>
      <c r="F2" s="40">
        <v>23677.869999999999</v>
      </c>
      <c r="G2" s="40">
        <v>3.7000000000000002</v>
      </c>
      <c r="H2" s="3"/>
      <c r="I2" s="3"/>
    </row>
    <row r="3" ht="14.25">
      <c r="A3" s="20" t="s">
        <v>6</v>
      </c>
      <c r="B3" s="51">
        <v>30000</v>
      </c>
      <c r="C3" s="52">
        <v>3200</v>
      </c>
      <c r="D3" s="52">
        <v>9.375</v>
      </c>
      <c r="E3" s="53">
        <v>5516.8100000000004</v>
      </c>
      <c r="F3" s="40">
        <v>35516.809999999998</v>
      </c>
      <c r="G3" s="40">
        <v>11.1</v>
      </c>
      <c r="H3" s="3"/>
      <c r="I3" s="3"/>
    </row>
    <row r="4" ht="14.25">
      <c r="A4" s="20" t="s">
        <v>9</v>
      </c>
      <c r="B4" s="51">
        <v>30000</v>
      </c>
      <c r="C4" s="52">
        <v>3200</v>
      </c>
      <c r="D4" s="52">
        <v>9.375</v>
      </c>
      <c r="E4" s="53">
        <v>5516.8100000000004</v>
      </c>
      <c r="F4" s="40">
        <v>35516.809999999998</v>
      </c>
      <c r="G4" s="40">
        <v>11.1</v>
      </c>
      <c r="H4" s="3"/>
      <c r="I4" s="3"/>
    </row>
    <row r="5" ht="14.25">
      <c r="A5" s="20" t="s">
        <v>11</v>
      </c>
      <c r="B5" s="51">
        <v>10000</v>
      </c>
      <c r="C5" s="52">
        <v>3200</v>
      </c>
      <c r="D5" s="52">
        <v>3.125</v>
      </c>
      <c r="E5" s="53">
        <v>1838.9400000000001</v>
      </c>
      <c r="F5" s="40">
        <v>11838.940000000001</v>
      </c>
      <c r="G5" s="40">
        <v>3.7000000000000002</v>
      </c>
      <c r="H5" s="3"/>
      <c r="I5" s="6" t="s">
        <v>80</v>
      </c>
    </row>
    <row r="6" ht="14.25">
      <c r="A6" s="20" t="s">
        <v>82</v>
      </c>
      <c r="B6" s="51">
        <v>1500</v>
      </c>
      <c r="C6" s="52">
        <v>1350</v>
      </c>
      <c r="D6" s="52">
        <v>1.111111111</v>
      </c>
      <c r="E6" s="53">
        <v>275.83999999999997</v>
      </c>
      <c r="F6" s="40">
        <v>1775.8399999999999</v>
      </c>
      <c r="G6" s="52">
        <v>1.3154399999999999</v>
      </c>
      <c r="H6" s="3"/>
      <c r="I6" s="6" t="s">
        <v>83</v>
      </c>
    </row>
    <row r="7" ht="14.25">
      <c r="A7" s="20" t="s">
        <v>84</v>
      </c>
      <c r="B7" s="51">
        <v>2000</v>
      </c>
      <c r="C7" s="52">
        <v>1850</v>
      </c>
      <c r="D7" s="52">
        <v>1.081081081</v>
      </c>
      <c r="E7" s="53">
        <v>367.79000000000002</v>
      </c>
      <c r="F7" s="40">
        <v>2367.79</v>
      </c>
      <c r="G7" s="40">
        <v>1.28</v>
      </c>
      <c r="H7" s="3"/>
      <c r="I7" s="3"/>
    </row>
    <row r="8" ht="14.25">
      <c r="A8" s="20" t="s">
        <v>85</v>
      </c>
      <c r="B8" s="51">
        <v>2035</v>
      </c>
      <c r="C8" s="52">
        <v>1850</v>
      </c>
      <c r="D8" s="52">
        <v>1.1000000000000001</v>
      </c>
      <c r="E8" s="53">
        <v>374.22000000000003</v>
      </c>
      <c r="F8" s="40">
        <v>2409.2199999999998</v>
      </c>
      <c r="G8" s="40">
        <v>1.3</v>
      </c>
      <c r="H8" s="3"/>
      <c r="I8" s="3"/>
    </row>
    <row r="9" ht="14.25">
      <c r="A9" s="20" t="s">
        <v>86</v>
      </c>
      <c r="B9" s="51">
        <v>1485</v>
      </c>
      <c r="C9" s="52">
        <v>1350</v>
      </c>
      <c r="D9" s="52">
        <v>1.1000000000000001</v>
      </c>
      <c r="E9" s="53">
        <v>273.07999999999998</v>
      </c>
      <c r="F9" s="40">
        <v>1758.0799999999999</v>
      </c>
      <c r="G9" s="40">
        <v>1.3</v>
      </c>
      <c r="H9" s="3"/>
      <c r="I9" s="3"/>
    </row>
    <row r="10" ht="14.25">
      <c r="A10" s="20" t="s">
        <v>87</v>
      </c>
      <c r="B10" s="51">
        <v>8000</v>
      </c>
      <c r="C10" s="52">
        <v>3200</v>
      </c>
      <c r="D10" s="52">
        <v>2.5</v>
      </c>
      <c r="E10" s="53">
        <v>1471.1500000000001</v>
      </c>
      <c r="F10" s="40">
        <v>9471.1499999999996</v>
      </c>
      <c r="G10" s="40">
        <v>2.96</v>
      </c>
      <c r="H10" s="3"/>
      <c r="I10" s="3"/>
    </row>
    <row r="11" ht="14.25">
      <c r="A11" s="20" t="s">
        <v>22</v>
      </c>
      <c r="B11" s="51">
        <v>105020</v>
      </c>
      <c r="C11" s="34"/>
      <c r="D11" s="34"/>
      <c r="E11" s="53">
        <v>19312.5</v>
      </c>
      <c r="F11" s="40">
        <v>124332.5</v>
      </c>
      <c r="G11" s="34"/>
      <c r="H11" s="3"/>
      <c r="I11" s="3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10.421875"/>
    <col bestFit="1" min="3" max="4" width="11.28125"/>
    <col bestFit="1" min="7" max="7" width="111.00390625"/>
  </cols>
  <sheetData>
    <row r="3">
      <c r="A3" s="54" t="s">
        <v>3</v>
      </c>
      <c r="B3" s="55"/>
      <c r="C3" s="55"/>
      <c r="D3" s="55"/>
      <c r="E3" s="3"/>
      <c r="F3" s="3"/>
      <c r="G3" s="3"/>
    </row>
    <row r="4">
      <c r="A4" s="28"/>
      <c r="B4" s="13" t="s">
        <v>88</v>
      </c>
      <c r="C4" s="13" t="s">
        <v>89</v>
      </c>
      <c r="D4" s="13" t="s">
        <v>90</v>
      </c>
      <c r="E4" s="3"/>
      <c r="F4" s="3"/>
      <c r="G4" s="3"/>
    </row>
    <row r="5" ht="23.25">
      <c r="A5" s="1" t="s">
        <v>91</v>
      </c>
      <c r="B5" s="2">
        <v>120</v>
      </c>
      <c r="C5" s="2">
        <v>3.5</v>
      </c>
      <c r="D5" s="2">
        <v>420</v>
      </c>
      <c r="E5" s="3"/>
      <c r="F5" s="3"/>
      <c r="G5" s="56" t="s">
        <v>92</v>
      </c>
    </row>
    <row r="6">
      <c r="A6" s="1" t="s">
        <v>93</v>
      </c>
      <c r="B6" s="2">
        <v>6400</v>
      </c>
      <c r="C6" s="57">
        <v>3.7000000000000002</v>
      </c>
      <c r="D6" s="2">
        <v>23677.870879999999</v>
      </c>
      <c r="E6" s="3"/>
      <c r="F6" s="3"/>
      <c r="G6" s="3"/>
    </row>
    <row r="7">
      <c r="A7" s="1" t="s">
        <v>22</v>
      </c>
      <c r="B7" s="2">
        <v>6520</v>
      </c>
      <c r="C7" s="2">
        <v>3.6959924669999999</v>
      </c>
      <c r="D7" s="2">
        <v>24097.870879999999</v>
      </c>
      <c r="E7" s="3"/>
      <c r="F7" s="3"/>
      <c r="G7" s="3"/>
    </row>
    <row r="8" ht="23.25">
      <c r="A8" s="1" t="s">
        <v>94</v>
      </c>
      <c r="B8" s="2">
        <v>6300</v>
      </c>
      <c r="C8" s="2">
        <v>3.6959924669999999</v>
      </c>
      <c r="D8" s="2">
        <v>23284.752540000001</v>
      </c>
      <c r="E8" s="3"/>
      <c r="F8" s="3"/>
      <c r="G8" s="56" t="s">
        <v>95</v>
      </c>
    </row>
    <row r="9" ht="23.25">
      <c r="A9" s="1" t="s">
        <v>96</v>
      </c>
      <c r="B9" s="2">
        <v>220</v>
      </c>
      <c r="C9" s="2">
        <v>3.6959924669999999</v>
      </c>
      <c r="D9" s="2">
        <v>813.11834260000001</v>
      </c>
      <c r="E9" s="3"/>
      <c r="F9" s="3"/>
      <c r="G9" s="56" t="s">
        <v>97</v>
      </c>
    </row>
    <row r="10">
      <c r="A10" s="3"/>
      <c r="B10" s="3"/>
      <c r="C10" s="3"/>
      <c r="D10" s="3"/>
      <c r="E10" s="3"/>
      <c r="F10" s="3"/>
      <c r="G10" s="3"/>
    </row>
    <row r="11">
      <c r="A11" s="54" t="s">
        <v>98</v>
      </c>
      <c r="B11" s="55"/>
      <c r="C11" s="55"/>
      <c r="D11" s="55"/>
      <c r="E11" s="3"/>
      <c r="F11" s="3"/>
      <c r="G11" s="3"/>
    </row>
    <row r="12">
      <c r="A12" s="28"/>
      <c r="B12" s="13" t="s">
        <v>88</v>
      </c>
      <c r="C12" s="13" t="s">
        <v>89</v>
      </c>
      <c r="D12" s="13" t="s">
        <v>90</v>
      </c>
      <c r="E12" s="3"/>
      <c r="F12" s="3"/>
      <c r="G12" s="3"/>
    </row>
    <row r="13">
      <c r="A13" s="1" t="s">
        <v>91</v>
      </c>
      <c r="B13" s="2">
        <v>60</v>
      </c>
      <c r="C13" s="2">
        <v>12</v>
      </c>
      <c r="D13" s="2">
        <v>720</v>
      </c>
      <c r="E13" s="3"/>
      <c r="F13" s="3"/>
      <c r="G13" s="3"/>
    </row>
    <row r="14">
      <c r="A14" s="1" t="s">
        <v>93</v>
      </c>
      <c r="B14" s="2">
        <v>3200</v>
      </c>
      <c r="C14" s="57">
        <v>11.1</v>
      </c>
      <c r="D14" s="2">
        <v>35516.806320000003</v>
      </c>
      <c r="E14" s="3"/>
      <c r="F14" s="3"/>
      <c r="G14" s="3"/>
    </row>
    <row r="15">
      <c r="A15" s="1" t="s">
        <v>22</v>
      </c>
      <c r="B15" s="2">
        <v>3260</v>
      </c>
      <c r="C15" s="2">
        <v>11.115584760000001</v>
      </c>
      <c r="D15" s="2">
        <v>36236.806320000003</v>
      </c>
      <c r="E15" s="3"/>
      <c r="F15" s="3"/>
      <c r="G15" s="3"/>
    </row>
    <row r="16">
      <c r="A16" s="1" t="s">
        <v>94</v>
      </c>
      <c r="B16" s="2">
        <v>3150</v>
      </c>
      <c r="C16" s="2">
        <v>11.115584760000001</v>
      </c>
      <c r="D16" s="2">
        <v>35014.091999999997</v>
      </c>
      <c r="E16" s="3"/>
      <c r="F16" s="3"/>
      <c r="G16" s="3"/>
    </row>
    <row r="17">
      <c r="A17" s="1" t="s">
        <v>96</v>
      </c>
      <c r="B17" s="2">
        <v>110</v>
      </c>
      <c r="C17" s="2">
        <v>11.115584760000001</v>
      </c>
      <c r="D17" s="2">
        <v>1222.714324</v>
      </c>
      <c r="E17" s="3"/>
      <c r="F17" s="3"/>
      <c r="G17" s="3"/>
    </row>
    <row r="18">
      <c r="A18" s="3"/>
      <c r="B18" s="3"/>
      <c r="C18" s="3"/>
      <c r="D18" s="3"/>
      <c r="E18" s="3"/>
      <c r="F18" s="3"/>
      <c r="G18" s="3"/>
    </row>
    <row r="19">
      <c r="A19" s="54" t="s">
        <v>9</v>
      </c>
      <c r="B19" s="55"/>
      <c r="C19" s="55"/>
      <c r="D19" s="55"/>
      <c r="E19" s="3"/>
      <c r="F19" s="3"/>
      <c r="G19" s="3"/>
    </row>
    <row r="20">
      <c r="A20" s="28"/>
      <c r="B20" s="13" t="s">
        <v>88</v>
      </c>
      <c r="C20" s="13" t="s">
        <v>89</v>
      </c>
      <c r="D20" s="13" t="s">
        <v>90</v>
      </c>
      <c r="E20" s="3"/>
      <c r="F20" s="3"/>
      <c r="G20" s="3"/>
    </row>
    <row r="21">
      <c r="A21" s="1" t="s">
        <v>91</v>
      </c>
      <c r="B21" s="2">
        <v>60</v>
      </c>
      <c r="C21" s="2">
        <v>9</v>
      </c>
      <c r="D21" s="2">
        <v>540</v>
      </c>
      <c r="E21" s="3"/>
      <c r="F21" s="3"/>
      <c r="G21" s="3"/>
    </row>
    <row r="22">
      <c r="A22" s="1" t="s">
        <v>93</v>
      </c>
      <c r="B22" s="2">
        <v>3200</v>
      </c>
      <c r="C22" s="57">
        <v>11.1</v>
      </c>
      <c r="D22" s="2">
        <v>35516.806320000003</v>
      </c>
      <c r="E22" s="3"/>
      <c r="F22" s="3"/>
      <c r="G22" s="3"/>
    </row>
    <row r="23">
      <c r="A23" s="1" t="s">
        <v>22</v>
      </c>
      <c r="B23" s="2">
        <v>3260</v>
      </c>
      <c r="C23" s="2">
        <v>11.06037004</v>
      </c>
      <c r="D23" s="2">
        <v>36056.806320000003</v>
      </c>
      <c r="E23" s="3"/>
      <c r="F23" s="3"/>
      <c r="G23" s="3"/>
    </row>
    <row r="24">
      <c r="A24" s="1" t="s">
        <v>94</v>
      </c>
      <c r="B24" s="2">
        <v>3150</v>
      </c>
      <c r="C24" s="2">
        <v>11.06037004</v>
      </c>
      <c r="D24" s="2">
        <v>34840.16562</v>
      </c>
      <c r="E24" s="3"/>
      <c r="F24" s="3"/>
      <c r="G24" s="3"/>
    </row>
    <row r="25">
      <c r="A25" s="1" t="s">
        <v>96</v>
      </c>
      <c r="B25" s="2">
        <v>110</v>
      </c>
      <c r="C25" s="2">
        <v>11.06037004</v>
      </c>
      <c r="D25" s="2">
        <v>1216.6407039999999</v>
      </c>
      <c r="E25" s="3"/>
      <c r="F25" s="3"/>
      <c r="G25" s="3"/>
    </row>
    <row r="26">
      <c r="A26" s="3"/>
      <c r="B26" s="3"/>
      <c r="C26" s="3"/>
      <c r="D26" s="3"/>
      <c r="E26" s="3"/>
      <c r="F26" s="3"/>
      <c r="G26" s="3"/>
    </row>
    <row r="27">
      <c r="A27" s="54" t="s">
        <v>99</v>
      </c>
      <c r="B27" s="55"/>
      <c r="C27" s="55"/>
      <c r="D27" s="55"/>
      <c r="E27" s="3"/>
      <c r="F27" s="3"/>
      <c r="G27" s="3"/>
    </row>
    <row r="28">
      <c r="A28" s="28"/>
      <c r="B28" s="13" t="s">
        <v>88</v>
      </c>
      <c r="C28" s="13" t="s">
        <v>89</v>
      </c>
      <c r="D28" s="13" t="s">
        <v>90</v>
      </c>
      <c r="E28" s="3"/>
      <c r="F28" s="3"/>
      <c r="G28" s="3"/>
    </row>
    <row r="29">
      <c r="A29" s="1" t="s">
        <v>91</v>
      </c>
      <c r="B29" s="2">
        <v>60</v>
      </c>
      <c r="C29" s="2">
        <v>4.7999999999999998</v>
      </c>
      <c r="D29" s="2">
        <v>288</v>
      </c>
      <c r="E29" s="3"/>
      <c r="F29" s="3"/>
      <c r="G29" s="3"/>
    </row>
    <row r="30">
      <c r="A30" s="1" t="s">
        <v>93</v>
      </c>
      <c r="B30" s="2">
        <v>3200</v>
      </c>
      <c r="C30" s="57">
        <v>3.7000000000000002</v>
      </c>
      <c r="D30" s="2">
        <v>11838.935439999999</v>
      </c>
      <c r="E30" s="3"/>
      <c r="F30" s="3"/>
      <c r="G30" s="3"/>
    </row>
    <row r="31">
      <c r="A31" s="1" t="s">
        <v>22</v>
      </c>
      <c r="B31" s="2">
        <v>3260</v>
      </c>
      <c r="C31" s="2">
        <v>3.7199188470000002</v>
      </c>
      <c r="D31" s="2">
        <v>12126.935439999999</v>
      </c>
      <c r="E31" s="3"/>
      <c r="F31" s="3"/>
      <c r="G31" s="3"/>
    </row>
    <row r="32">
      <c r="A32" s="1" t="s">
        <v>94</v>
      </c>
      <c r="B32" s="2">
        <v>3150</v>
      </c>
      <c r="C32" s="2">
        <v>3.7199188470000002</v>
      </c>
      <c r="D32" s="2">
        <v>11717.74437</v>
      </c>
      <c r="E32" s="3"/>
      <c r="F32" s="3"/>
      <c r="G32" s="3"/>
    </row>
    <row r="33">
      <c r="A33" s="1" t="s">
        <v>96</v>
      </c>
      <c r="B33" s="2">
        <v>110</v>
      </c>
      <c r="C33" s="2">
        <v>3.7199188470000002</v>
      </c>
      <c r="D33" s="2">
        <v>409.19107320000001</v>
      </c>
      <c r="E33" s="3"/>
      <c r="F33" s="3"/>
      <c r="G33" s="3"/>
    </row>
    <row r="34">
      <c r="A34" s="3"/>
      <c r="B34" s="3"/>
      <c r="C34" s="3"/>
      <c r="D34" s="3"/>
      <c r="E34" s="3"/>
      <c r="F34" s="3"/>
      <c r="G34" s="3"/>
    </row>
    <row r="35">
      <c r="A35" s="54" t="s">
        <v>82</v>
      </c>
      <c r="B35" s="55"/>
      <c r="C35" s="55"/>
      <c r="D35" s="55"/>
      <c r="E35" s="3"/>
      <c r="F35" s="3"/>
      <c r="G35" s="3"/>
    </row>
    <row r="36">
      <c r="A36" s="28"/>
      <c r="B36" s="13" t="s">
        <v>88</v>
      </c>
      <c r="C36" s="13" t="s">
        <v>89</v>
      </c>
      <c r="D36" s="13" t="s">
        <v>90</v>
      </c>
      <c r="E36" s="3"/>
      <c r="F36" s="3"/>
      <c r="G36" s="3"/>
    </row>
    <row r="37">
      <c r="A37" s="1" t="s">
        <v>91</v>
      </c>
      <c r="B37" s="2">
        <v>20</v>
      </c>
      <c r="C37" s="2">
        <v>1.05</v>
      </c>
      <c r="D37" s="2">
        <v>21</v>
      </c>
      <c r="E37" s="3"/>
      <c r="F37" s="3"/>
      <c r="G37" s="3"/>
    </row>
    <row r="38">
      <c r="A38" s="1" t="s">
        <v>93</v>
      </c>
      <c r="B38" s="2">
        <v>1350</v>
      </c>
      <c r="C38" s="57">
        <v>1.3200000000000001</v>
      </c>
      <c r="D38" s="2">
        <v>1775.840316</v>
      </c>
      <c r="E38" s="3"/>
      <c r="F38" s="3"/>
      <c r="G38" s="3"/>
    </row>
    <row r="39">
      <c r="A39" s="1" t="s">
        <v>22</v>
      </c>
      <c r="B39" s="2">
        <v>1370</v>
      </c>
      <c r="C39" s="2">
        <v>1.311562275</v>
      </c>
      <c r="D39" s="2">
        <v>1796.840316</v>
      </c>
      <c r="E39" s="3"/>
      <c r="F39" s="3"/>
      <c r="G39" s="3"/>
    </row>
    <row r="40">
      <c r="A40" s="1" t="s">
        <v>94</v>
      </c>
      <c r="B40" s="2">
        <v>1325</v>
      </c>
      <c r="C40" s="2">
        <v>1.311562275</v>
      </c>
      <c r="D40" s="2">
        <v>1737.8200139999999</v>
      </c>
      <c r="E40" s="3"/>
      <c r="F40" s="3"/>
      <c r="G40" s="3"/>
    </row>
    <row r="41">
      <c r="A41" s="1" t="s">
        <v>96</v>
      </c>
      <c r="B41" s="2">
        <v>45</v>
      </c>
      <c r="C41" s="2">
        <v>1.311562275</v>
      </c>
      <c r="D41" s="2">
        <v>59.020302350000001</v>
      </c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54" t="s">
        <v>100</v>
      </c>
      <c r="B43" s="55"/>
      <c r="C43" s="55"/>
      <c r="D43" s="55"/>
      <c r="E43" s="3"/>
      <c r="F43" s="3"/>
      <c r="G43" s="3"/>
    </row>
    <row r="44">
      <c r="A44" s="28"/>
      <c r="B44" s="13" t="s">
        <v>88</v>
      </c>
      <c r="C44" s="13" t="s">
        <v>89</v>
      </c>
      <c r="D44" s="13" t="s">
        <v>90</v>
      </c>
      <c r="E44" s="3"/>
      <c r="F44" s="3"/>
      <c r="G44" s="3"/>
    </row>
    <row r="45">
      <c r="A45" s="1" t="s">
        <v>91</v>
      </c>
      <c r="B45" s="2">
        <v>39</v>
      </c>
      <c r="C45" s="2">
        <v>1.05</v>
      </c>
      <c r="D45" s="2">
        <v>40.950000000000003</v>
      </c>
      <c r="E45" s="3"/>
      <c r="F45" s="3"/>
      <c r="G45" s="3"/>
    </row>
    <row r="46">
      <c r="A46" s="1" t="s">
        <v>93</v>
      </c>
      <c r="B46" s="2">
        <v>1850</v>
      </c>
      <c r="C46" s="57">
        <v>1.28</v>
      </c>
      <c r="D46" s="2">
        <v>2367.787088</v>
      </c>
      <c r="E46" s="3"/>
      <c r="F46" s="3"/>
      <c r="G46" s="3"/>
    </row>
    <row r="47">
      <c r="A47" s="1" t="s">
        <v>22</v>
      </c>
      <c r="B47" s="2">
        <v>1889</v>
      </c>
      <c r="C47" s="2">
        <v>1.2751387439999999</v>
      </c>
      <c r="D47" s="2">
        <v>2408.7370879999999</v>
      </c>
      <c r="E47" s="3"/>
      <c r="F47" s="3"/>
      <c r="G47" s="3"/>
    </row>
    <row r="48">
      <c r="A48" s="1" t="s">
        <v>94</v>
      </c>
      <c r="B48" s="2">
        <v>1825</v>
      </c>
      <c r="C48" s="2">
        <v>1.2751387439999999</v>
      </c>
      <c r="D48" s="2">
        <v>2327.128209</v>
      </c>
      <c r="E48" s="3"/>
      <c r="F48" s="3"/>
      <c r="G48" s="3"/>
    </row>
    <row r="49">
      <c r="A49" s="1" t="s">
        <v>96</v>
      </c>
      <c r="B49" s="2">
        <v>64</v>
      </c>
      <c r="C49" s="2">
        <v>1.2751387439999999</v>
      </c>
      <c r="D49" s="2">
        <v>81.608879639999998</v>
      </c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58" t="s">
        <v>85</v>
      </c>
      <c r="B51" s="58"/>
      <c r="C51" s="58"/>
      <c r="D51" s="58"/>
      <c r="E51" s="3"/>
      <c r="F51" s="3"/>
      <c r="G51" s="3"/>
    </row>
    <row r="52">
      <c r="A52" s="28"/>
      <c r="B52" s="13" t="s">
        <v>88</v>
      </c>
      <c r="C52" s="13" t="s">
        <v>89</v>
      </c>
      <c r="D52" s="13" t="s">
        <v>90</v>
      </c>
      <c r="E52" s="3"/>
      <c r="F52" s="3"/>
      <c r="G52" s="3"/>
    </row>
    <row r="53">
      <c r="A53" s="1" t="s">
        <v>91</v>
      </c>
      <c r="B53" s="2">
        <v>41</v>
      </c>
      <c r="C53" s="2">
        <v>1.03</v>
      </c>
      <c r="D53" s="2">
        <v>42.229999999999997</v>
      </c>
      <c r="E53" s="3"/>
      <c r="F53" s="3"/>
      <c r="G53" s="3"/>
    </row>
    <row r="54">
      <c r="A54" s="1" t="s">
        <v>93</v>
      </c>
      <c r="B54" s="2">
        <v>1850</v>
      </c>
      <c r="C54" s="57">
        <v>1.3</v>
      </c>
      <c r="D54" s="2">
        <v>2409.2233620000002</v>
      </c>
      <c r="E54" s="3"/>
      <c r="F54" s="3"/>
      <c r="G54" s="3"/>
    </row>
    <row r="55">
      <c r="A55" s="1" t="s">
        <v>22</v>
      </c>
      <c r="B55" s="2">
        <v>1891</v>
      </c>
      <c r="C55" s="2">
        <v>1.2963793560000001</v>
      </c>
      <c r="D55" s="2">
        <v>2451.4533620000002</v>
      </c>
      <c r="E55" s="3"/>
      <c r="F55" s="3"/>
      <c r="G55" s="3"/>
    </row>
    <row r="56">
      <c r="A56" s="1" t="s">
        <v>94</v>
      </c>
      <c r="B56" s="2">
        <v>1825</v>
      </c>
      <c r="C56" s="2">
        <v>1.2963793560000001</v>
      </c>
      <c r="D56" s="2">
        <v>2365.8923249999998</v>
      </c>
      <c r="E56" s="3"/>
      <c r="F56" s="3"/>
      <c r="G56" s="3"/>
    </row>
    <row r="57">
      <c r="A57" s="1" t="s">
        <v>96</v>
      </c>
      <c r="B57" s="2">
        <v>66</v>
      </c>
      <c r="C57" s="2">
        <v>1.2963793560000001</v>
      </c>
      <c r="D57" s="2">
        <v>85.561037499999998</v>
      </c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58" t="s">
        <v>86</v>
      </c>
      <c r="B60" s="58"/>
      <c r="C60" s="58"/>
      <c r="D60" s="58"/>
      <c r="E60" s="3"/>
      <c r="F60" s="3"/>
      <c r="G60" s="3"/>
    </row>
    <row r="61">
      <c r="A61" s="28"/>
      <c r="B61" s="13" t="s">
        <v>88</v>
      </c>
      <c r="C61" s="13" t="s">
        <v>89</v>
      </c>
      <c r="D61" s="13" t="s">
        <v>90</v>
      </c>
      <c r="E61" s="3"/>
      <c r="F61" s="3"/>
      <c r="G61" s="3"/>
    </row>
    <row r="62">
      <c r="A62" s="1" t="s">
        <v>91</v>
      </c>
      <c r="B62" s="2">
        <v>21</v>
      </c>
      <c r="C62" s="2">
        <v>1.03</v>
      </c>
      <c r="D62" s="2">
        <v>21.629999999999999</v>
      </c>
      <c r="E62" s="3"/>
      <c r="F62" s="3"/>
      <c r="G62" s="3"/>
    </row>
    <row r="63">
      <c r="A63" s="1" t="s">
        <v>93</v>
      </c>
      <c r="B63" s="2">
        <v>1350</v>
      </c>
      <c r="C63" s="57">
        <v>1.3</v>
      </c>
      <c r="D63" s="2">
        <v>1758.081913</v>
      </c>
      <c r="E63" s="3"/>
      <c r="F63" s="3"/>
      <c r="G63" s="3"/>
    </row>
    <row r="64">
      <c r="A64" s="1" t="s">
        <v>22</v>
      </c>
      <c r="B64" s="2">
        <v>1371</v>
      </c>
      <c r="C64" s="2">
        <v>1.2981122629999999</v>
      </c>
      <c r="D64" s="2">
        <v>1779.7119130000001</v>
      </c>
      <c r="E64" s="3"/>
      <c r="F64" s="3"/>
      <c r="G64" s="3"/>
    </row>
    <row r="65">
      <c r="A65" s="1" t="s">
        <v>94</v>
      </c>
      <c r="B65" s="2">
        <v>1325</v>
      </c>
      <c r="C65" s="2">
        <v>1.2981122629999999</v>
      </c>
      <c r="D65" s="2">
        <v>1719.9987490000001</v>
      </c>
      <c r="E65" s="3"/>
      <c r="F65" s="3"/>
      <c r="G65" s="3"/>
    </row>
    <row r="66">
      <c r="A66" s="1" t="s">
        <v>96</v>
      </c>
      <c r="B66" s="2">
        <v>46</v>
      </c>
      <c r="C66" s="2">
        <v>1.2981122629999999</v>
      </c>
      <c r="D66" s="2">
        <v>59.713164110000001</v>
      </c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58" t="s">
        <v>87</v>
      </c>
      <c r="B69" s="58"/>
      <c r="C69" s="58"/>
      <c r="D69" s="58"/>
      <c r="E69" s="3"/>
      <c r="F69" s="3"/>
      <c r="G69" s="3"/>
    </row>
    <row r="70">
      <c r="A70" s="28"/>
      <c r="B70" s="13" t="s">
        <v>88</v>
      </c>
      <c r="C70" s="13" t="s">
        <v>89</v>
      </c>
      <c r="D70" s="13" t="s">
        <v>90</v>
      </c>
      <c r="E70" s="3"/>
      <c r="F70" s="3"/>
      <c r="G70" s="3"/>
    </row>
    <row r="71">
      <c r="A71" s="1" t="s">
        <v>91</v>
      </c>
      <c r="B71" s="2">
        <v>19</v>
      </c>
      <c r="C71" s="2">
        <v>7</v>
      </c>
      <c r="D71" s="2">
        <v>133</v>
      </c>
      <c r="E71" s="3"/>
      <c r="F71" s="3"/>
      <c r="G71" s="3"/>
    </row>
    <row r="72">
      <c r="A72" s="1" t="s">
        <v>93</v>
      </c>
      <c r="B72" s="2">
        <v>3200</v>
      </c>
      <c r="C72" s="57">
        <v>2.96</v>
      </c>
      <c r="D72" s="2">
        <v>9471.1483530000005</v>
      </c>
      <c r="E72" s="3"/>
      <c r="F72" s="3"/>
      <c r="G72" s="3"/>
    </row>
    <row r="73">
      <c r="A73" s="1" t="s">
        <v>22</v>
      </c>
      <c r="B73" s="2">
        <v>3219</v>
      </c>
      <c r="C73" s="2">
        <v>2.9835813459999998</v>
      </c>
      <c r="D73" s="2">
        <v>9604.1483530000005</v>
      </c>
      <c r="E73" s="3"/>
      <c r="F73" s="3"/>
      <c r="G73" s="3"/>
    </row>
    <row r="74">
      <c r="A74" s="1" t="s">
        <v>94</v>
      </c>
      <c r="B74" s="2">
        <v>3150</v>
      </c>
      <c r="C74" s="2">
        <v>2.9835813459999998</v>
      </c>
      <c r="D74" s="2">
        <v>9398.2812400000003</v>
      </c>
      <c r="E74" s="3"/>
      <c r="F74" s="3"/>
      <c r="G74" s="3"/>
    </row>
    <row r="75">
      <c r="A75" s="1" t="s">
        <v>96</v>
      </c>
      <c r="B75" s="2">
        <v>69</v>
      </c>
      <c r="C75" s="2">
        <v>2.9835813459999998</v>
      </c>
      <c r="D75" s="2">
        <v>205.8671129</v>
      </c>
      <c r="E75" s="3"/>
      <c r="F75" s="3"/>
      <c r="G75" s="3"/>
    </row>
    <row r="76">
      <c r="A76" s="3"/>
      <c r="B76" s="3"/>
      <c r="C76" s="3"/>
      <c r="D76" s="59"/>
      <c r="E76" s="3"/>
      <c r="F76" s="3"/>
      <c r="G76" s="3"/>
    </row>
  </sheetData>
  <mergeCells count="9">
    <mergeCell ref="A3:D3"/>
    <mergeCell ref="A11:D11"/>
    <mergeCell ref="A19:D19"/>
    <mergeCell ref="A27:D27"/>
    <mergeCell ref="A35:D35"/>
    <mergeCell ref="A43:D43"/>
    <mergeCell ref="A51:D51"/>
    <mergeCell ref="A60:D60"/>
    <mergeCell ref="A69:D69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30.7109375"/>
    <col bestFit="1" min="2" max="2" width="4.7109375"/>
    <col bestFit="1" min="3" max="4" width="11.28125"/>
    <col bestFit="1" min="5" max="5" width="17.28125"/>
    <col bestFit="1" min="6" max="7" width="11.28125"/>
    <col bestFit="1" min="8" max="8" width="22.421875"/>
  </cols>
  <sheetData>
    <row r="1">
      <c r="A1" s="60" t="s">
        <v>101</v>
      </c>
      <c r="B1" s="34"/>
      <c r="C1" s="34"/>
      <c r="D1" s="34"/>
      <c r="E1" s="34"/>
      <c r="F1" s="61" t="s">
        <v>5</v>
      </c>
      <c r="G1" s="61" t="s">
        <v>8</v>
      </c>
      <c r="H1" s="3"/>
    </row>
    <row r="2">
      <c r="A2" s="20" t="s">
        <v>3</v>
      </c>
      <c r="B2" s="52">
        <v>6300</v>
      </c>
      <c r="C2" s="52">
        <v>3.6959924669999999</v>
      </c>
      <c r="D2" s="52">
        <v>23284.752540000001</v>
      </c>
      <c r="E2" s="34"/>
      <c r="F2" s="52">
        <v>13490.372499999999</v>
      </c>
      <c r="G2" s="52">
        <v>9794.3800360000005</v>
      </c>
      <c r="H2" s="3"/>
    </row>
    <row r="3">
      <c r="A3" s="20" t="s">
        <v>6</v>
      </c>
      <c r="B3" s="52">
        <v>3150</v>
      </c>
      <c r="C3" s="52">
        <v>11.115584760000001</v>
      </c>
      <c r="D3" s="52">
        <v>35014.091999999997</v>
      </c>
      <c r="E3" s="34"/>
      <c r="F3" s="52">
        <v>20285.942190000002</v>
      </c>
      <c r="G3" s="52">
        <v>14728.149810000001</v>
      </c>
      <c r="H3" s="3"/>
    </row>
    <row r="4" ht="18.75">
      <c r="A4" s="20" t="s">
        <v>9</v>
      </c>
      <c r="B4" s="52">
        <v>3150</v>
      </c>
      <c r="C4" s="52">
        <v>11.06037004</v>
      </c>
      <c r="D4" s="52">
        <v>34840.16562</v>
      </c>
      <c r="E4" s="34"/>
      <c r="F4" s="52">
        <v>20185.175319999998</v>
      </c>
      <c r="G4" s="52">
        <v>14654.990299999999</v>
      </c>
      <c r="H4" s="62" t="s">
        <v>102</v>
      </c>
    </row>
    <row r="5">
      <c r="A5" s="20" t="s">
        <v>11</v>
      </c>
      <c r="B5" s="52">
        <v>3150</v>
      </c>
      <c r="C5" s="52">
        <v>3.7199188470000002</v>
      </c>
      <c r="D5" s="52">
        <v>11717.74437</v>
      </c>
      <c r="E5" s="34"/>
      <c r="F5" s="52">
        <v>6788.8518960000001</v>
      </c>
      <c r="G5" s="52">
        <v>4928.8924720000005</v>
      </c>
      <c r="H5" s="3"/>
    </row>
    <row r="6">
      <c r="A6" s="20" t="s">
        <v>82</v>
      </c>
      <c r="B6" s="52">
        <v>1325</v>
      </c>
      <c r="C6" s="52">
        <v>1.311562275</v>
      </c>
      <c r="D6" s="52">
        <v>1737.8200139999999</v>
      </c>
      <c r="E6" s="34"/>
      <c r="F6" s="34"/>
      <c r="G6" s="52">
        <v>1737.8200139999999</v>
      </c>
      <c r="H6" s="3"/>
    </row>
    <row r="7">
      <c r="A7" s="20" t="s">
        <v>84</v>
      </c>
      <c r="B7" s="52">
        <v>1825</v>
      </c>
      <c r="C7" s="52">
        <v>1.2751387439999999</v>
      </c>
      <c r="D7" s="52">
        <v>2327.128209</v>
      </c>
      <c r="E7" s="34"/>
      <c r="F7" s="52">
        <v>2327.128209</v>
      </c>
      <c r="G7" s="34"/>
      <c r="H7" s="3"/>
    </row>
    <row r="8">
      <c r="A8" s="20" t="s">
        <v>85</v>
      </c>
      <c r="B8" s="52">
        <v>1825</v>
      </c>
      <c r="C8" s="52">
        <v>1.2963793560000001</v>
      </c>
      <c r="D8" s="52">
        <v>2365.8923249999998</v>
      </c>
      <c r="E8" s="34"/>
      <c r="F8" s="52">
        <v>2365.8923249999998</v>
      </c>
      <c r="G8" s="34"/>
      <c r="H8" s="3"/>
    </row>
    <row r="9">
      <c r="A9" s="20" t="s">
        <v>86</v>
      </c>
      <c r="B9" s="52">
        <v>1325</v>
      </c>
      <c r="C9" s="52">
        <v>1.2981122629999999</v>
      </c>
      <c r="D9" s="52">
        <v>1719.9987490000001</v>
      </c>
      <c r="E9" s="34"/>
      <c r="F9" s="34"/>
      <c r="G9" s="52">
        <v>1719.9987490000001</v>
      </c>
      <c r="H9" s="3"/>
    </row>
    <row r="10">
      <c r="A10" s="20" t="s">
        <v>87</v>
      </c>
      <c r="B10" s="52">
        <v>3150</v>
      </c>
      <c r="C10" s="52">
        <v>2.9835813459999998</v>
      </c>
      <c r="D10" s="52">
        <v>9398.2812400000003</v>
      </c>
      <c r="E10" s="34"/>
      <c r="F10" s="52">
        <v>5445.0359559999997</v>
      </c>
      <c r="G10" s="52">
        <v>3953.2452830000002</v>
      </c>
      <c r="H10" s="3"/>
    </row>
    <row r="11">
      <c r="A11" s="20" t="s">
        <v>22</v>
      </c>
      <c r="B11" s="34"/>
      <c r="C11" s="34"/>
      <c r="D11" s="34"/>
      <c r="E11" s="34"/>
      <c r="F11" s="52">
        <v>70888.398400000005</v>
      </c>
      <c r="G11" s="52">
        <v>51517.47666</v>
      </c>
      <c r="H11" s="3"/>
    </row>
    <row r="12">
      <c r="A12" s="3"/>
      <c r="B12" s="3"/>
      <c r="C12" s="3"/>
      <c r="D12" s="3"/>
      <c r="E12" s="3"/>
      <c r="F12" s="3"/>
      <c r="G12" s="3"/>
      <c r="H12" s="3"/>
    </row>
    <row r="13">
      <c r="A13" s="3"/>
      <c r="B13" s="3"/>
      <c r="C13" s="3"/>
      <c r="D13" s="3"/>
      <c r="E13" s="3"/>
      <c r="F13" s="3"/>
      <c r="G13" s="3"/>
      <c r="H13" s="3"/>
    </row>
    <row r="14">
      <c r="A14" s="63" t="s">
        <v>103</v>
      </c>
      <c r="B14" s="3"/>
      <c r="C14" s="3"/>
      <c r="D14" s="3"/>
      <c r="E14" s="3"/>
      <c r="F14" s="3"/>
      <c r="G14" s="3"/>
      <c r="H14" s="3"/>
    </row>
    <row r="15">
      <c r="A15" s="19" t="s">
        <v>104</v>
      </c>
      <c r="B15" s="3"/>
      <c r="C15" s="3"/>
      <c r="D15" s="3"/>
      <c r="E15" s="3"/>
      <c r="F15" s="3"/>
      <c r="G15" s="3"/>
      <c r="H15" s="3"/>
    </row>
    <row r="16">
      <c r="A16" s="3"/>
      <c r="B16" s="3"/>
      <c r="C16" s="3"/>
      <c r="D16" s="3"/>
      <c r="E16" s="3"/>
      <c r="F16" s="3"/>
      <c r="G16" s="3"/>
      <c r="H16" s="3"/>
    </row>
    <row r="17">
      <c r="A17" s="63" t="s">
        <v>105</v>
      </c>
      <c r="B17" s="3"/>
      <c r="C17" s="3"/>
      <c r="D17" s="3"/>
      <c r="E17" s="3"/>
      <c r="F17" s="3"/>
      <c r="G17" s="3"/>
      <c r="H17" s="3"/>
    </row>
    <row r="18">
      <c r="A18" s="3"/>
      <c r="B18" s="3"/>
      <c r="C18" s="3"/>
      <c r="D18" s="3"/>
      <c r="E18" s="64" t="s">
        <v>106</v>
      </c>
      <c r="F18" s="64">
        <v>70</v>
      </c>
      <c r="G18" s="64">
        <v>82</v>
      </c>
      <c r="H18" s="3"/>
    </row>
    <row r="19">
      <c r="A19" s="3"/>
      <c r="B19" s="3"/>
      <c r="C19" s="3"/>
      <c r="D19" s="3"/>
      <c r="E19" s="65" t="s">
        <v>107</v>
      </c>
      <c r="F19" s="52">
        <v>105.05756580000001</v>
      </c>
      <c r="G19" s="52">
        <v>105.05756580000001</v>
      </c>
      <c r="H19" s="3"/>
    </row>
    <row r="20">
      <c r="A20" s="3"/>
      <c r="B20" s="3"/>
      <c r="C20" s="3"/>
      <c r="D20" s="3"/>
      <c r="E20" s="65" t="s">
        <v>22</v>
      </c>
      <c r="F20" s="52">
        <v>7354.0296049999997</v>
      </c>
      <c r="G20" s="52">
        <v>8614.7203950000003</v>
      </c>
      <c r="H20" s="3"/>
    </row>
    <row r="21">
      <c r="A21" s="3"/>
      <c r="B21" s="3"/>
      <c r="C21" s="3"/>
      <c r="D21" s="3"/>
      <c r="E21" s="34"/>
      <c r="F21" s="34"/>
      <c r="G21" s="34"/>
      <c r="H21" s="3"/>
    </row>
    <row r="22">
      <c r="A22" s="6" t="s">
        <v>22</v>
      </c>
      <c r="B22" s="3"/>
      <c r="C22" s="3"/>
      <c r="D22" s="3"/>
      <c r="E22" s="65" t="s">
        <v>108</v>
      </c>
      <c r="F22" s="52">
        <v>78242.428</v>
      </c>
      <c r="G22" s="52">
        <v>60132.197059999999</v>
      </c>
      <c r="H22" s="3"/>
    </row>
    <row r="23">
      <c r="A23" s="3"/>
      <c r="B23" s="3"/>
      <c r="C23" s="3"/>
      <c r="D23" s="3"/>
      <c r="E23" s="65" t="s">
        <v>109</v>
      </c>
      <c r="F23" s="52">
        <v>1825</v>
      </c>
      <c r="G23" s="52">
        <v>1325</v>
      </c>
      <c r="H23" s="3"/>
    </row>
    <row r="24">
      <c r="A24" s="3"/>
      <c r="B24" s="3"/>
      <c r="C24" s="3"/>
      <c r="D24" s="3"/>
      <c r="E24" s="65" t="s">
        <v>110</v>
      </c>
      <c r="F24" s="52">
        <v>42.872563290000002</v>
      </c>
      <c r="G24" s="52">
        <v>45.382790229999998</v>
      </c>
      <c r="H24" s="3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10.421875"/>
    <col bestFit="1" min="3" max="3" width="10.8515625"/>
    <col bestFit="1" min="4" max="4" width="11.28125"/>
    <col bestFit="1" min="6" max="6" width="76.421875"/>
  </cols>
  <sheetData>
    <row r="1">
      <c r="A1" s="54" t="s">
        <v>111</v>
      </c>
      <c r="B1" s="55"/>
      <c r="C1" s="55"/>
      <c r="D1" s="55"/>
      <c r="E1" s="3"/>
      <c r="F1" s="3"/>
    </row>
    <row r="2">
      <c r="A2" s="28"/>
      <c r="B2" s="13" t="s">
        <v>88</v>
      </c>
      <c r="C2" s="13" t="s">
        <v>89</v>
      </c>
      <c r="D2" s="13" t="s">
        <v>90</v>
      </c>
      <c r="E2" s="3"/>
      <c r="F2" s="3"/>
    </row>
    <row r="3">
      <c r="A3" s="1" t="s">
        <v>91</v>
      </c>
      <c r="B3" s="2">
        <v>40</v>
      </c>
      <c r="C3" s="2" t="s">
        <v>112</v>
      </c>
      <c r="D3" s="2">
        <v>1520</v>
      </c>
      <c r="E3" s="3"/>
      <c r="F3" s="3"/>
    </row>
    <row r="4">
      <c r="A4" s="1" t="s">
        <v>93</v>
      </c>
      <c r="B4" s="2">
        <v>1825</v>
      </c>
      <c r="C4" s="2" t="s">
        <v>113</v>
      </c>
      <c r="D4" s="2">
        <v>78242.428</v>
      </c>
      <c r="E4" s="3"/>
      <c r="F4" s="66" t="s">
        <v>114</v>
      </c>
    </row>
    <row r="5">
      <c r="A5" s="1" t="s">
        <v>22</v>
      </c>
      <c r="B5" s="2">
        <v>1865</v>
      </c>
      <c r="C5" s="2" t="s">
        <v>115</v>
      </c>
      <c r="D5" s="2">
        <v>79762.428</v>
      </c>
      <c r="E5" s="3"/>
      <c r="F5" s="3"/>
    </row>
    <row r="6">
      <c r="A6" s="1" t="s">
        <v>94</v>
      </c>
      <c r="B6" s="2">
        <v>1800</v>
      </c>
      <c r="C6" s="2" t="s">
        <v>115</v>
      </c>
      <c r="D6" s="2">
        <v>76982.504239999995</v>
      </c>
      <c r="E6" s="3"/>
      <c r="F6" s="66" t="s">
        <v>116</v>
      </c>
    </row>
    <row r="7">
      <c r="A7" s="1" t="s">
        <v>96</v>
      </c>
      <c r="B7" s="2">
        <v>65</v>
      </c>
      <c r="C7" s="2" t="s">
        <v>115</v>
      </c>
      <c r="D7" s="2">
        <v>2779.9237640000001</v>
      </c>
      <c r="E7" s="3"/>
      <c r="F7" s="3"/>
    </row>
    <row r="8">
      <c r="A8" s="3"/>
      <c r="B8" s="3"/>
      <c r="C8" s="3"/>
      <c r="D8" s="3"/>
      <c r="E8" s="3"/>
      <c r="F8" s="3"/>
    </row>
    <row r="9">
      <c r="A9" s="54" t="s">
        <v>117</v>
      </c>
      <c r="B9" s="55"/>
      <c r="C9" s="55"/>
      <c r="D9" s="55"/>
      <c r="E9" s="3"/>
      <c r="F9" s="3"/>
    </row>
    <row r="10">
      <c r="A10" s="28"/>
      <c r="B10" s="13" t="s">
        <v>88</v>
      </c>
      <c r="C10" s="13" t="s">
        <v>89</v>
      </c>
      <c r="D10" s="13" t="s">
        <v>90</v>
      </c>
      <c r="E10" s="3"/>
      <c r="F10" s="3"/>
    </row>
    <row r="11">
      <c r="A11" s="1" t="s">
        <v>91</v>
      </c>
      <c r="B11" s="2">
        <v>20</v>
      </c>
      <c r="C11" s="2" t="s">
        <v>118</v>
      </c>
      <c r="D11" s="2">
        <v>900</v>
      </c>
      <c r="E11" s="3"/>
      <c r="F11" s="3"/>
    </row>
    <row r="12">
      <c r="A12" s="1" t="s">
        <v>93</v>
      </c>
      <c r="B12" s="2">
        <v>1325</v>
      </c>
      <c r="C12" s="2" t="s">
        <v>119</v>
      </c>
      <c r="D12" s="2">
        <v>60132.197059999999</v>
      </c>
      <c r="E12" s="3"/>
      <c r="F12" s="3"/>
    </row>
    <row r="13">
      <c r="A13" s="1" t="s">
        <v>22</v>
      </c>
      <c r="B13" s="2">
        <v>1345</v>
      </c>
      <c r="C13" s="2" t="s">
        <v>120</v>
      </c>
      <c r="D13" s="2">
        <v>61032.197059999999</v>
      </c>
      <c r="E13" s="3"/>
      <c r="F13" s="3"/>
    </row>
    <row r="14">
      <c r="A14" s="1" t="s">
        <v>94</v>
      </c>
      <c r="B14" s="2">
        <v>1300</v>
      </c>
      <c r="C14" s="2" t="s">
        <v>120</v>
      </c>
      <c r="D14" s="2">
        <v>58990.227639999997</v>
      </c>
      <c r="E14" s="3"/>
      <c r="F14" s="3"/>
    </row>
    <row r="15">
      <c r="A15" s="1" t="s">
        <v>96</v>
      </c>
      <c r="B15" s="2">
        <v>45</v>
      </c>
      <c r="C15" s="2" t="s">
        <v>120</v>
      </c>
      <c r="D15" s="2">
        <v>2041.9694179999999</v>
      </c>
      <c r="E15" s="3"/>
      <c r="F15" s="3"/>
    </row>
    <row r="20">
      <c r="A20" s="54" t="s">
        <v>121</v>
      </c>
      <c r="B20" s="55"/>
      <c r="C20" s="55"/>
      <c r="D20" s="55"/>
    </row>
    <row r="21">
      <c r="A21" s="28"/>
      <c r="B21" s="13" t="s">
        <v>88</v>
      </c>
      <c r="C21" s="12" t="s">
        <v>89</v>
      </c>
      <c r="D21" s="12" t="s">
        <v>90</v>
      </c>
    </row>
    <row r="22">
      <c r="A22" s="20" t="s">
        <v>91</v>
      </c>
      <c r="B22" s="67"/>
      <c r="C22" s="68"/>
      <c r="D22" s="51">
        <f>B22*C22</f>
        <v>0</v>
      </c>
    </row>
    <row r="23">
      <c r="A23" s="20" t="s">
        <v>93</v>
      </c>
      <c r="B23" s="67"/>
      <c r="C23" s="51"/>
      <c r="D23" s="51">
        <f>B23*C23</f>
        <v>0</v>
      </c>
    </row>
    <row r="24">
      <c r="A24" s="20" t="s">
        <v>22</v>
      </c>
      <c r="B24" s="67"/>
      <c r="C24" s="51"/>
      <c r="D24" s="51">
        <f>B24*C24</f>
        <v>0</v>
      </c>
    </row>
    <row r="25">
      <c r="A25" s="20" t="s">
        <v>94</v>
      </c>
      <c r="B25" s="67"/>
      <c r="C25" s="51"/>
      <c r="D25" s="51">
        <f>B25*C25</f>
        <v>0</v>
      </c>
    </row>
    <row r="26">
      <c r="A26" s="20" t="s">
        <v>96</v>
      </c>
      <c r="B26" s="67"/>
      <c r="C26" s="51"/>
      <c r="D26" s="51">
        <f>B26*C26</f>
        <v>0</v>
      </c>
    </row>
    <row r="27">
      <c r="A27" s="69"/>
      <c r="B27" s="69"/>
      <c r="C27" s="69"/>
      <c r="D27" s="69"/>
    </row>
    <row r="28">
      <c r="A28" s="54" t="s">
        <v>121</v>
      </c>
      <c r="B28" s="55"/>
      <c r="C28" s="55"/>
      <c r="D28" s="55"/>
    </row>
    <row r="29">
      <c r="A29" s="36"/>
      <c r="B29" s="33" t="s">
        <v>88</v>
      </c>
      <c r="C29" s="17" t="s">
        <v>89</v>
      </c>
      <c r="D29" s="17" t="s">
        <v>90</v>
      </c>
    </row>
    <row r="30">
      <c r="A30" s="20" t="s">
        <v>91</v>
      </c>
      <c r="B30" s="67"/>
      <c r="C30" s="51"/>
      <c r="D30" s="51">
        <f>C30*B30</f>
        <v>0</v>
      </c>
    </row>
    <row r="31">
      <c r="A31" s="20" t="s">
        <v>93</v>
      </c>
      <c r="B31" s="67"/>
      <c r="C31" s="51"/>
      <c r="D31" s="51">
        <f>C31*B31</f>
        <v>0</v>
      </c>
    </row>
    <row r="32">
      <c r="A32" s="20" t="s">
        <v>22</v>
      </c>
      <c r="B32" s="67"/>
      <c r="C32" s="51"/>
      <c r="D32" s="51">
        <f>B32*C32</f>
        <v>0</v>
      </c>
    </row>
    <row r="33">
      <c r="A33" s="20" t="s">
        <v>94</v>
      </c>
      <c r="B33" s="67"/>
      <c r="C33" s="51"/>
      <c r="D33" s="51">
        <f>C33*B33</f>
        <v>0</v>
      </c>
    </row>
    <row r="34">
      <c r="A34" s="20" t="s">
        <v>96</v>
      </c>
      <c r="B34" s="67"/>
      <c r="C34" s="51"/>
      <c r="D34" s="51">
        <f>C34*B34</f>
        <v>0</v>
      </c>
    </row>
  </sheetData>
  <mergeCells count="4">
    <mergeCell ref="A1:D1"/>
    <mergeCell ref="A9:D9"/>
    <mergeCell ref="A20:D20"/>
    <mergeCell ref="A28:D28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37.28125"/>
    <col bestFit="1" min="2" max="2" width="4.7109375"/>
    <col bestFit="1" min="3" max="4" width="11.8515625"/>
    <col bestFit="1" min="5" max="5" width="4.7109375"/>
    <col bestFit="1" min="6" max="7" width="11.28125"/>
    <col bestFit="1" min="8" max="8" width="10.140625"/>
    <col bestFit="1" min="9" max="9" width="41.00390625"/>
  </cols>
  <sheetData>
    <row r="1">
      <c r="A1" s="34"/>
      <c r="B1" s="54" t="s">
        <v>5</v>
      </c>
      <c r="C1" s="55"/>
      <c r="D1" s="70"/>
      <c r="E1" s="54" t="s">
        <v>8</v>
      </c>
      <c r="F1" s="55"/>
      <c r="G1" s="70"/>
      <c r="H1" s="3"/>
      <c r="I1" s="3"/>
    </row>
    <row r="2">
      <c r="A2" s="34"/>
      <c r="B2" s="71" t="s">
        <v>26</v>
      </c>
      <c r="C2" s="71" t="s">
        <v>122</v>
      </c>
      <c r="D2" s="71" t="s">
        <v>22</v>
      </c>
      <c r="E2" s="71" t="s">
        <v>26</v>
      </c>
      <c r="F2" s="71" t="s">
        <v>122</v>
      </c>
      <c r="G2" s="71" t="s">
        <v>22</v>
      </c>
      <c r="H2" s="3"/>
      <c r="I2" s="3"/>
    </row>
    <row r="3">
      <c r="A3" s="65" t="s">
        <v>123</v>
      </c>
      <c r="B3" s="52">
        <v>1800</v>
      </c>
      <c r="C3" s="52">
        <v>42.768057910000003</v>
      </c>
      <c r="D3" s="52">
        <v>76982.504239999995</v>
      </c>
      <c r="E3" s="52">
        <v>1300</v>
      </c>
      <c r="F3" s="52">
        <v>45.377098179999997</v>
      </c>
      <c r="G3" s="52">
        <v>58990.227639999997</v>
      </c>
      <c r="H3" s="66" t="s">
        <v>124</v>
      </c>
      <c r="I3" s="66" t="s">
        <v>125</v>
      </c>
    </row>
    <row r="4">
      <c r="A4" s="65" t="s">
        <v>126</v>
      </c>
      <c r="B4" s="34"/>
      <c r="C4" s="34"/>
      <c r="D4" s="34"/>
      <c r="E4" s="34"/>
      <c r="F4" s="34"/>
      <c r="G4" s="34"/>
      <c r="H4" s="3"/>
      <c r="I4" s="3"/>
    </row>
    <row r="5">
      <c r="A5" s="65" t="s">
        <v>127</v>
      </c>
      <c r="B5" s="52">
        <v>1800</v>
      </c>
      <c r="C5" s="52">
        <v>5</v>
      </c>
      <c r="D5" s="52">
        <v>9000</v>
      </c>
      <c r="E5" s="52">
        <v>1300</v>
      </c>
      <c r="F5" s="52">
        <v>5</v>
      </c>
      <c r="G5" s="52">
        <v>6500</v>
      </c>
      <c r="H5" s="3"/>
      <c r="I5" s="3"/>
    </row>
    <row r="6">
      <c r="A6" s="65" t="s">
        <v>79</v>
      </c>
      <c r="B6" s="52">
        <v>9900</v>
      </c>
      <c r="C6" s="40">
        <v>1.3600000000000001</v>
      </c>
      <c r="D6" s="40">
        <v>13490.15</v>
      </c>
      <c r="E6" s="52">
        <v>7800</v>
      </c>
      <c r="F6" s="40">
        <v>1.3600000000000001</v>
      </c>
      <c r="G6" s="40">
        <v>10628.6</v>
      </c>
      <c r="H6" s="72">
        <v>24118.75</v>
      </c>
      <c r="I6" s="3"/>
    </row>
    <row r="7">
      <c r="A7" s="34"/>
      <c r="B7" s="34"/>
      <c r="C7" s="34"/>
      <c r="D7" s="34"/>
      <c r="E7" s="34"/>
      <c r="F7" s="34"/>
      <c r="G7" s="34"/>
      <c r="H7" s="3"/>
      <c r="I7" s="3"/>
    </row>
    <row r="8">
      <c r="A8" s="34"/>
      <c r="B8" s="34"/>
      <c r="C8" s="34"/>
      <c r="D8" s="34"/>
      <c r="E8" s="34"/>
      <c r="F8" s="34"/>
      <c r="G8" s="34"/>
      <c r="H8" s="3"/>
      <c r="I8" s="3"/>
    </row>
    <row r="9">
      <c r="A9" s="65" t="s">
        <v>128</v>
      </c>
      <c r="B9" s="52">
        <v>1800</v>
      </c>
      <c r="C9" s="52">
        <v>55.262584750000002</v>
      </c>
      <c r="D9" s="52">
        <v>99472.652539999995</v>
      </c>
      <c r="E9" s="52">
        <v>1300</v>
      </c>
      <c r="F9" s="52">
        <v>58.552945639999997</v>
      </c>
      <c r="G9" s="52">
        <v>76118.829329999993</v>
      </c>
      <c r="H9" s="66" t="s">
        <v>129</v>
      </c>
      <c r="I9" s="66" t="s">
        <v>130</v>
      </c>
    </row>
    <row r="10">
      <c r="A10" s="34"/>
      <c r="B10" s="34"/>
      <c r="C10" s="34"/>
      <c r="D10" s="34"/>
      <c r="E10" s="34"/>
      <c r="F10" s="34"/>
      <c r="G10" s="34"/>
      <c r="H10" s="3"/>
      <c r="I10" s="3"/>
    </row>
    <row r="11">
      <c r="A11" s="34"/>
      <c r="B11" s="34"/>
      <c r="C11" s="34"/>
      <c r="D11" s="34"/>
      <c r="E11" s="34"/>
      <c r="F11" s="34"/>
      <c r="G11" s="34"/>
      <c r="H11" s="3"/>
      <c r="I11" s="3"/>
    </row>
    <row r="12">
      <c r="A12" s="65" t="s">
        <v>131</v>
      </c>
      <c r="B12" s="52">
        <v>1800</v>
      </c>
      <c r="C12" s="52">
        <v>55</v>
      </c>
      <c r="D12" s="52">
        <v>99000</v>
      </c>
      <c r="E12" s="52">
        <v>1300</v>
      </c>
      <c r="F12" s="52">
        <v>60</v>
      </c>
      <c r="G12" s="52">
        <v>78000</v>
      </c>
      <c r="H12" s="3"/>
      <c r="I12" s="3"/>
    </row>
    <row r="13">
      <c r="A13" s="3"/>
      <c r="B13" s="3"/>
      <c r="C13" s="3"/>
      <c r="D13" s="3"/>
      <c r="E13" s="3"/>
      <c r="F13" s="3"/>
      <c r="G13" s="3"/>
      <c r="H13" s="3"/>
      <c r="I13" s="3"/>
    </row>
    <row r="14">
      <c r="A14" s="3"/>
      <c r="B14" s="3"/>
      <c r="C14" s="3"/>
      <c r="D14" s="3"/>
      <c r="E14" s="3"/>
      <c r="F14" s="3"/>
      <c r="G14" s="3"/>
      <c r="H14" s="3"/>
      <c r="I14" s="3"/>
    </row>
    <row r="15">
      <c r="A15" s="65" t="s">
        <v>132</v>
      </c>
      <c r="B15" s="52">
        <v>1800</v>
      </c>
      <c r="C15" s="52">
        <v>-0.26258474599999998</v>
      </c>
      <c r="D15" s="52">
        <v>-472.65254270000003</v>
      </c>
      <c r="E15" s="52">
        <v>1300</v>
      </c>
      <c r="F15" s="52">
        <v>1.4470543579999999</v>
      </c>
      <c r="G15" s="52">
        <v>1881.1706650000001</v>
      </c>
      <c r="H15" s="66" t="s">
        <v>124</v>
      </c>
      <c r="I15" s="66" t="s">
        <v>133</v>
      </c>
    </row>
    <row r="16">
      <c r="A16" s="3"/>
      <c r="B16" s="3"/>
      <c r="C16" s="3"/>
      <c r="D16" s="3"/>
      <c r="E16" s="3"/>
      <c r="F16" s="3"/>
      <c r="G16" s="3"/>
      <c r="H16" s="3"/>
      <c r="I16" s="3"/>
    </row>
    <row r="17">
      <c r="A17" s="3"/>
      <c r="B17" s="3"/>
      <c r="C17" s="3"/>
      <c r="D17" s="3"/>
      <c r="E17" s="3"/>
      <c r="F17" s="3"/>
      <c r="G17" s="3"/>
      <c r="H17" s="3"/>
      <c r="I17" s="3"/>
    </row>
    <row r="18">
      <c r="A18" s="6" t="s">
        <v>134</v>
      </c>
      <c r="B18" s="8">
        <v>3100</v>
      </c>
      <c r="C18" s="8">
        <v>0.45436068499999999</v>
      </c>
      <c r="D18" s="8">
        <v>1408.5181230000001</v>
      </c>
      <c r="E18" s="3"/>
      <c r="F18" s="3"/>
      <c r="G18" s="3"/>
      <c r="H18" s="3"/>
      <c r="I18" s="3"/>
    </row>
    <row r="22">
      <c r="A22" s="34"/>
      <c r="B22" s="54"/>
      <c r="C22" s="55"/>
      <c r="D22" s="70"/>
      <c r="E22" s="54"/>
      <c r="F22" s="55"/>
      <c r="G22" s="70"/>
      <c r="H22" s="3"/>
    </row>
    <row r="23">
      <c r="A23" s="34"/>
      <c r="B23" s="71" t="s">
        <v>26</v>
      </c>
      <c r="C23" s="71" t="s">
        <v>122</v>
      </c>
      <c r="D23" s="71" t="s">
        <v>22</v>
      </c>
      <c r="E23" s="71" t="s">
        <v>26</v>
      </c>
      <c r="F23" s="71" t="s">
        <v>122</v>
      </c>
      <c r="G23" s="71" t="s">
        <v>22</v>
      </c>
      <c r="H23" s="3"/>
    </row>
    <row r="24">
      <c r="A24" s="65"/>
      <c r="B24" s="52"/>
      <c r="C24" s="52"/>
      <c r="D24" s="52"/>
      <c r="E24" s="52"/>
      <c r="F24" s="52"/>
      <c r="G24" s="52"/>
      <c r="H24" s="66" t="s">
        <v>124</v>
      </c>
    </row>
    <row r="25">
      <c r="A25" s="65"/>
      <c r="B25" s="34"/>
      <c r="C25" s="34"/>
      <c r="D25" s="34"/>
      <c r="E25" s="34"/>
      <c r="F25" s="34"/>
      <c r="G25" s="34"/>
      <c r="H25" s="3"/>
    </row>
    <row r="26">
      <c r="A26" s="65"/>
      <c r="B26" s="52"/>
      <c r="C26" s="52"/>
      <c r="D26" s="52"/>
      <c r="E26" s="52"/>
      <c r="F26" s="52"/>
      <c r="G26" s="52"/>
      <c r="H26" s="3"/>
    </row>
    <row r="27">
      <c r="A27" s="65"/>
      <c r="B27" s="52"/>
      <c r="C27" s="40"/>
      <c r="D27" s="40"/>
      <c r="E27" s="52"/>
      <c r="F27" s="40"/>
      <c r="G27" s="40"/>
      <c r="H27" s="72"/>
    </row>
    <row r="28">
      <c r="A28" s="34"/>
      <c r="B28" s="34"/>
      <c r="C28" s="34"/>
      <c r="D28" s="34"/>
      <c r="E28" s="34"/>
      <c r="F28" s="34"/>
      <c r="G28" s="34"/>
      <c r="H28" s="3"/>
    </row>
    <row r="29">
      <c r="A29" s="34"/>
      <c r="B29" s="34"/>
      <c r="C29" s="34"/>
      <c r="D29" s="34"/>
      <c r="E29" s="34"/>
      <c r="F29" s="34"/>
      <c r="G29" s="34"/>
      <c r="H29" s="3"/>
    </row>
    <row r="30">
      <c r="A30" s="65" t="s">
        <v>128</v>
      </c>
      <c r="B30" s="52"/>
      <c r="C30" s="52"/>
      <c r="D30" s="52"/>
      <c r="E30" s="52"/>
      <c r="F30" s="52"/>
      <c r="G30" s="52"/>
      <c r="H30" s="66" t="s">
        <v>129</v>
      </c>
    </row>
    <row r="31">
      <c r="A31" s="34"/>
      <c r="B31" s="34"/>
      <c r="C31" s="34"/>
      <c r="D31" s="34"/>
      <c r="E31" s="34"/>
      <c r="F31" s="34"/>
      <c r="G31" s="34"/>
      <c r="H31" s="3"/>
    </row>
    <row r="32">
      <c r="A32" s="34"/>
      <c r="B32" s="34"/>
      <c r="C32" s="34"/>
      <c r="D32" s="34"/>
      <c r="E32" s="34"/>
      <c r="F32" s="34"/>
      <c r="G32" s="34"/>
      <c r="H32" s="3"/>
    </row>
    <row r="33">
      <c r="A33" s="65" t="s">
        <v>131</v>
      </c>
      <c r="B33" s="52"/>
      <c r="C33" s="52"/>
      <c r="D33" s="52"/>
      <c r="E33" s="52"/>
      <c r="F33" s="52"/>
      <c r="G33" s="52"/>
      <c r="H33" s="3"/>
    </row>
    <row r="34">
      <c r="A34" s="3"/>
      <c r="B34" s="3"/>
      <c r="C34" s="3"/>
      <c r="D34" s="3"/>
      <c r="E34" s="3"/>
      <c r="F34" s="3"/>
      <c r="G34" s="3"/>
      <c r="H34" s="3"/>
    </row>
    <row r="35">
      <c r="A35" s="73"/>
      <c r="B35" s="73"/>
      <c r="C35" s="73"/>
      <c r="D35" s="73"/>
      <c r="E35" s="73"/>
      <c r="F35" s="73"/>
      <c r="G35" s="73"/>
      <c r="H35" s="3"/>
    </row>
    <row r="36">
      <c r="A36" s="65" t="s">
        <v>132</v>
      </c>
      <c r="B36" s="52"/>
      <c r="C36" s="52"/>
      <c r="D36" s="52"/>
      <c r="E36" s="52"/>
      <c r="F36" s="52"/>
      <c r="G36" s="52"/>
      <c r="H36" s="66" t="s">
        <v>124</v>
      </c>
    </row>
    <row r="37">
      <c r="A37" s="3"/>
      <c r="B37" s="3"/>
      <c r="C37" s="3"/>
      <c r="D37" s="3"/>
      <c r="E37" s="3"/>
      <c r="F37" s="3"/>
      <c r="G37" s="3"/>
      <c r="H37" s="3"/>
    </row>
    <row r="38">
      <c r="A38" s="3"/>
      <c r="B38" s="3"/>
      <c r="C38" s="3"/>
      <c r="D38" s="3"/>
      <c r="E38" s="3"/>
      <c r="F38" s="3"/>
      <c r="G38" s="3"/>
      <c r="H38" s="3"/>
    </row>
    <row r="39">
      <c r="A39" s="6" t="s">
        <v>134</v>
      </c>
      <c r="B39" s="8"/>
      <c r="C39" s="8" t="e">
        <f>D39/B39</f>
        <v>#DIV/0!</v>
      </c>
      <c r="D39" s="8"/>
      <c r="E39" s="3"/>
      <c r="F39" s="3"/>
      <c r="G39" s="3"/>
      <c r="H39" s="3"/>
    </row>
  </sheetData>
  <mergeCells count="4">
    <mergeCell ref="B1:D1"/>
    <mergeCell ref="E1:G1"/>
    <mergeCell ref="B22:D22"/>
    <mergeCell ref="E22:G2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2026-01-21T16:31:02Z</dcterms:modified>
</cp:coreProperties>
</file>