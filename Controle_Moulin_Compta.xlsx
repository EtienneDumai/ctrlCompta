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Données" sheetId="1" state="visible" r:id="rId2"/>
    <sheet name="Charges indirectes" sheetId="2" state="visible" r:id="rId3"/>
    <sheet name="Cout d'achat" sheetId="3" state="visible" r:id="rId4"/>
    <sheet name="Stock acheté" sheetId="4" state="visible" r:id="rId5"/>
    <sheet name="Cout de production" sheetId="5" state="visible" r:id="rId6"/>
    <sheet name="Stock trotinettes" sheetId="6" state="visible" r:id="rId7"/>
    <sheet name="Cout de revient" sheetId="7" state="visible" r:id="rId8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<sst xmlns="http://schemas.openxmlformats.org/spreadsheetml/2006/main" count="119" uniqueCount="119">
  <si>
    <t xml:space="preserve">Eau énergie</t>
  </si>
  <si>
    <t xml:space="preserve">Tableau des salaires et charges</t>
  </si>
  <si>
    <t xml:space="preserve">Mdo assemblage</t>
  </si>
  <si>
    <t>Roues</t>
  </si>
  <si>
    <t xml:space="preserve">M. Dion </t>
  </si>
  <si>
    <t>Garçon</t>
  </si>
  <si>
    <t xml:space="preserve">Repose Pied</t>
  </si>
  <si>
    <t xml:space="preserve"> M. Retron</t>
  </si>
  <si>
    <t>Fille</t>
  </si>
  <si>
    <t>Guidons</t>
  </si>
  <si>
    <t xml:space="preserve"> M. Poliard</t>
  </si>
  <si>
    <t>Freins</t>
  </si>
  <si>
    <t xml:space="preserve"> Mme Loudon</t>
  </si>
  <si>
    <t xml:space="preserve">Auto-collants filles</t>
  </si>
  <si>
    <t xml:space="preserve">Auto-collants garçons</t>
  </si>
  <si>
    <t xml:space="preserve">Emballage garçon</t>
  </si>
  <si>
    <t xml:space="preserve">Emballage fille</t>
  </si>
  <si>
    <t>Garde-boue</t>
  </si>
  <si>
    <t xml:space="preserve">Salaires et charges</t>
  </si>
  <si>
    <t>Entretien</t>
  </si>
  <si>
    <t>Publicité</t>
  </si>
  <si>
    <t>Transport</t>
  </si>
  <si>
    <t>Total</t>
  </si>
  <si>
    <t xml:space="preserve">Achat trottinettes </t>
  </si>
  <si>
    <t>Production</t>
  </si>
  <si>
    <t>Éléments</t>
  </si>
  <si>
    <t>Qté</t>
  </si>
  <si>
    <t>Roue</t>
  </si>
  <si>
    <t xml:space="preserve">Auto-collant filles</t>
  </si>
  <si>
    <t xml:space="preserve">Auto-collant garçons</t>
  </si>
  <si>
    <t xml:space="preserve">Emballages garçons</t>
  </si>
  <si>
    <t xml:space="preserve">Emballages filles</t>
  </si>
  <si>
    <t xml:space="preserve">Centres Auxiliaires</t>
  </si>
  <si>
    <t xml:space="preserve">Centres Principaux</t>
  </si>
  <si>
    <t>Administration</t>
  </si>
  <si>
    <t>Achat</t>
  </si>
  <si>
    <t>Assemblage</t>
  </si>
  <si>
    <t>Commercialisation</t>
  </si>
  <si>
    <t xml:space="preserve">Lié au cout d'achat</t>
  </si>
  <si>
    <t xml:space="preserve">Lié au cout de production</t>
  </si>
  <si>
    <t xml:space="preserve">Lié au cout hors production</t>
  </si>
  <si>
    <t>Dion</t>
  </si>
  <si>
    <t>Retron</t>
  </si>
  <si>
    <t>Poliard</t>
  </si>
  <si>
    <t>Loudon</t>
  </si>
  <si>
    <t xml:space="preserve">Répartition secondaire</t>
  </si>
  <si>
    <t xml:space="preserve">Total après répartition secondaire</t>
  </si>
  <si>
    <t xml:space="preserve">Nature de l'unité d'œuvre</t>
  </si>
  <si>
    <t xml:space="preserve">100 € d'achat HT </t>
  </si>
  <si>
    <t xml:space="preserve"> Heures de MOD </t>
  </si>
  <si>
    <t xml:space="preserve"> 10 € de vente HT </t>
  </si>
  <si>
    <t xml:space="preserve">Nombre d'unité d'œuvre</t>
  </si>
  <si>
    <t xml:space="preserve">Cout de l'unité d'œuvre</t>
  </si>
  <si>
    <t xml:space="preserve">Centre Auxiliaire</t>
  </si>
  <si>
    <t xml:space="preserve">Centre Principaux</t>
  </si>
  <si>
    <t xml:space="preserve">Totaux primaire</t>
  </si>
  <si>
    <t xml:space="preserve">Totaux secondaires</t>
  </si>
  <si>
    <t xml:space="preserve">Nature des unités d'œuvre</t>
  </si>
  <si>
    <t xml:space="preserve">Coût de l'unité d'œuvre</t>
  </si>
  <si>
    <t xml:space="preserve">Nom de la charge indirecte</t>
  </si>
  <si>
    <t xml:space="preserve">Nom charge indirecte</t>
  </si>
  <si>
    <t xml:space="preserve">Prix d'achat</t>
  </si>
  <si>
    <t xml:space="preserve">Qté acheté</t>
  </si>
  <si>
    <t xml:space="preserve">Prix d'achat unitaire</t>
  </si>
  <si>
    <t xml:space="preserve">Charges indirectes</t>
  </si>
  <si>
    <t xml:space="preserve">Cout d'achat</t>
  </si>
  <si>
    <t xml:space="preserve">Cout d'achat unitaire</t>
  </si>
  <si>
    <t xml:space="preserve">Auto collant filles</t>
  </si>
  <si>
    <t xml:space="preserve">Prix d'achat + Charges directes liées aux achats + charges indirectes liées aux achats</t>
  </si>
  <si>
    <t xml:space="preserve">Auto collant garçons</t>
  </si>
  <si>
    <t xml:space="preserve">Emballages garçon</t>
  </si>
  <si>
    <t xml:space="preserve">Emballages fille</t>
  </si>
  <si>
    <t xml:space="preserve">Garde boue</t>
  </si>
  <si>
    <t xml:space="preserve">Nom matiere premiere</t>
  </si>
  <si>
    <t>Quantités</t>
  </si>
  <si>
    <t xml:space="preserve">Prix unitaire</t>
  </si>
  <si>
    <t>Montant</t>
  </si>
  <si>
    <t xml:space="preserve">Stock initial</t>
  </si>
  <si>
    <t>Entrée</t>
  </si>
  <si>
    <t xml:space="preserve">Les entrées se font au cout d'achat et pas au prix d'achat !!!!</t>
  </si>
  <si>
    <t>Sortie</t>
  </si>
  <si>
    <t xml:space="preserve">Stock final</t>
  </si>
  <si>
    <t xml:space="preserve">Les sorties correspondent à ce qui est utilisé par la production</t>
  </si>
  <si>
    <t xml:space="preserve">Repose Pieds</t>
  </si>
  <si>
    <t xml:space="preserve">Elles se font au cout unitaire moyen pondéré (la méthode de gestion des stock)</t>
  </si>
  <si>
    <t>Frein</t>
  </si>
  <si>
    <t xml:space="preserve">Auto collant Garçon</t>
  </si>
  <si>
    <t xml:space="preserve">Cout d'achat des matières utilisées</t>
  </si>
  <si>
    <t xml:space="preserve">Les sorties du stocks</t>
  </si>
  <si>
    <t xml:space="preserve">Charges directes</t>
  </si>
  <si>
    <t>Aucune</t>
  </si>
  <si>
    <t xml:space="preserve">Charges indirecte</t>
  </si>
  <si>
    <t>Heures</t>
  </si>
  <si>
    <t xml:space="preserve">Cout unité d'œuvre</t>
  </si>
  <si>
    <t xml:space="preserve">Cout total</t>
  </si>
  <si>
    <t xml:space="preserve">Nombre trotinettes</t>
  </si>
  <si>
    <t xml:space="preserve">Cout unitaire</t>
  </si>
  <si>
    <t xml:space="preserve">Nombre acheté</t>
  </si>
  <si>
    <t xml:space="preserve">PU dans tableur stock acheté</t>
  </si>
  <si>
    <t xml:space="preserve">Total dans stock acheté</t>
  </si>
  <si>
    <t xml:space="preserve">X2 pour des roues par exemple</t>
  </si>
  <si>
    <t xml:space="preserve">Trotinette garçon</t>
  </si>
  <si>
    <t xml:space="preserve">Entrée : ce qui a été produit valorisé au cout de production</t>
  </si>
  <si>
    <t xml:space="preserve">Sortie : ce qui a été vendu valorisé au cout unitaire moyen pondéré (la méthode d estock)</t>
  </si>
  <si>
    <t xml:space="preserve">Trotinette fille</t>
  </si>
  <si>
    <t xml:space="preserve">Nom Produit</t>
  </si>
  <si>
    <t>PU</t>
  </si>
  <si>
    <t xml:space="preserve">Cout de production des trotinette vendues</t>
  </si>
  <si>
    <t>---&gt;</t>
  </si>
  <si>
    <t xml:space="preserve">Les sorties de la fiche de stock</t>
  </si>
  <si>
    <t xml:space="preserve">Cout hors production</t>
  </si>
  <si>
    <t>Livraisons</t>
  </si>
  <si>
    <t xml:space="preserve">Cout de revient</t>
  </si>
  <si>
    <t>--&gt;</t>
  </si>
  <si>
    <t xml:space="preserve">Cout de prod des trot vendues+ cout hors prod</t>
  </si>
  <si>
    <t>CA</t>
  </si>
  <si>
    <t xml:space="preserve">Résutat (CA- cout de revient)</t>
  </si>
  <si>
    <t xml:space="preserve">CA-Cout de revient</t>
  </si>
  <si>
    <t xml:space="preserve">Résultat global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</si>
</sst>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#,##0 \€;[Red]-#,##0 \€"/>
    <numFmt numFmtId="165" formatCode="#,##0.00\ [$€-40C]"/>
    <numFmt numFmtId="166" formatCode="#,##0.00 \€;[Red]-#,##0.00 \€"/>
  </numFmts>
  <fonts count="6">
    <font>
      <sz val="11.000000"/>
      <color theme="1"/>
      <name val="Calibri"/>
      <scheme val="minor"/>
    </font>
    <font>
      <sz val="11.000000"/>
      <name val="Calibri"/>
    </font>
    <font>
      <b/>
      <sz val="11.000000"/>
      <name val="Calibri"/>
    </font>
    <font>
      <sz val="18.000000"/>
      <color indexed="2"/>
      <name val="Calibri"/>
    </font>
    <font>
      <sz val="14.000000"/>
      <color indexed="2"/>
      <name val="Calibri"/>
    </font>
    <font>
      <sz val="11.000000"/>
      <color indexed="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8EA9DB"/>
        <bgColor rgb="FF8EA9DB"/>
      </patternFill>
    </fill>
    <fill>
      <patternFill patternType="solid">
        <fgColor rgb="FFC65911"/>
        <bgColor rgb="FFC65911"/>
      </patternFill>
    </fill>
    <fill>
      <patternFill patternType="solid">
        <fgColor rgb="FFF2F2F2"/>
        <bgColor rgb="FFF2F2F2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3">
    <xf fontId="0" fillId="0" borderId="0" numFmtId="0" xfId="0"/>
    <xf fontId="1" fillId="0" borderId="1" numFmtId="0" xfId="0" applyFont="1" applyBorder="1" applyAlignment="1">
      <alignment horizontal="left" vertical="center"/>
    </xf>
    <xf fontId="1" fillId="0" borderId="2" numFmtId="0" xfId="0" applyFont="1" applyBorder="1" applyAlignment="1">
      <alignment horizontal="right" vertical="center"/>
    </xf>
    <xf fontId="0" fillId="0" borderId="0" numFmtId="0" xfId="0" applyAlignment="1">
      <alignment horizontal="left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0" numFmtId="0" xfId="0" applyFont="1" applyAlignment="1">
      <alignment horizontal="left"/>
    </xf>
    <xf fontId="1" fillId="0" borderId="2" numFmtId="164" xfId="0" applyNumberFormat="1" applyFont="1" applyBorder="1" applyAlignment="1">
      <alignment horizontal="right" vertical="center"/>
    </xf>
    <xf fontId="1" fillId="0" borderId="0" numFmtId="0" xfId="0" applyFont="1" applyAlignment="1">
      <alignment horizontal="right"/>
    </xf>
    <xf fontId="0" fillId="0" borderId="0" numFmtId="0" xfId="0" applyAlignment="1">
      <alignment horizontal="left" vertical="center"/>
    </xf>
    <xf fontId="2" fillId="0" borderId="1" numFmtId="0" xfId="0" applyFont="1" applyBorder="1" applyAlignment="1">
      <alignment horizontal="left" vertical="center"/>
    </xf>
    <xf fontId="2" fillId="0" borderId="2" numFmtId="0" xfId="0" applyFont="1" applyBorder="1" applyAlignment="1">
      <alignment horizontal="right" vertical="center"/>
    </xf>
    <xf fontId="1" fillId="0" borderId="1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3" borderId="2" numFmtId="0" xfId="0" applyFont="1" applyFill="1" applyBorder="1" applyAlignment="1">
      <alignment horizontal="center" vertical="center"/>
    </xf>
    <xf fontId="1" fillId="4" borderId="5" numFmtId="0" xfId="0" applyFont="1" applyFill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0" fillId="2" borderId="0" numFmtId="0" xfId="0" applyFill="1" applyAlignment="1">
      <alignment horizontal="left"/>
    </xf>
    <xf fontId="1" fillId="0" borderId="0" numFmtId="0" xfId="0" applyFont="1" applyAlignment="1">
      <alignment horizontal="left" vertical="center"/>
    </xf>
    <xf fontId="1" fillId="0" borderId="6" numFmtId="0" xfId="0" applyFont="1" applyBorder="1" applyAlignment="1">
      <alignment horizontal="left" vertical="center"/>
    </xf>
    <xf fontId="1" fillId="0" borderId="4" numFmtId="164" xfId="0" applyNumberFormat="1" applyFont="1" applyBorder="1" applyAlignment="1">
      <alignment horizontal="right" vertical="center"/>
    </xf>
    <xf fontId="1" fillId="0" borderId="1" numFmtId="9" xfId="0" applyNumberFormat="1" applyFont="1" applyBorder="1" applyAlignment="1">
      <alignment horizontal="center" vertical="center"/>
    </xf>
    <xf fontId="1" fillId="0" borderId="2" numFmtId="9" xfId="0" applyNumberFormat="1" applyFont="1" applyBorder="1" applyAlignment="1">
      <alignment horizontal="center" vertical="center"/>
    </xf>
    <xf fontId="1" fillId="0" borderId="5" numFmtId="9" xfId="0" applyNumberFormat="1" applyFont="1" applyBorder="1" applyAlignment="1">
      <alignment horizontal="center" vertical="center"/>
    </xf>
    <xf fontId="1" fillId="0" borderId="6" numFmtId="9" xfId="0" applyNumberFormat="1" applyFont="1" applyBorder="1" applyAlignment="1">
      <alignment horizontal="center" vertical="center"/>
    </xf>
    <xf fontId="0" fillId="3" borderId="0" numFmtId="0" xfId="0" applyFill="1" applyAlignment="1">
      <alignment horizontal="left"/>
    </xf>
    <xf fontId="0" fillId="0" borderId="5" numFmtId="0" xfId="0" applyBorder="1" applyAlignment="1">
      <alignment horizontal="left" vertical="center"/>
    </xf>
    <xf fontId="0" fillId="0" borderId="1" numFmtId="0" xfId="0" applyBorder="1" applyAlignment="1">
      <alignment horizontal="left" vertical="center"/>
    </xf>
    <xf fontId="0" fillId="0" borderId="2" numFmtId="0" xfId="0" applyBorder="1" applyAlignment="1">
      <alignment horizontal="left" vertical="center"/>
    </xf>
    <xf fontId="0" fillId="4" borderId="0" numFmtId="0" xfId="0" applyFill="1" applyAlignment="1">
      <alignment horizontal="left"/>
    </xf>
    <xf fontId="1" fillId="0" borderId="5" numFmtId="164" xfId="0" applyNumberFormat="1" applyFont="1" applyBorder="1" applyAlignment="1">
      <alignment horizontal="right" vertical="center"/>
    </xf>
    <xf fontId="1" fillId="0" borderId="1" numFmtId="164" xfId="0" applyNumberFormat="1" applyFont="1" applyBorder="1" applyAlignment="1">
      <alignment horizontal="right" vertical="center"/>
    </xf>
    <xf fontId="1" fillId="0" borderId="7" numFmtId="0" xfId="0" applyFont="1" applyBorder="1" applyAlignment="1">
      <alignment horizontal="center" vertical="center"/>
    </xf>
    <xf fontId="0" fillId="0" borderId="6" numFmtId="0" xfId="0" applyBorder="1" applyAlignment="1">
      <alignment horizontal="left"/>
    </xf>
    <xf fontId="1" fillId="0" borderId="6" numFmtId="164" xfId="0" applyNumberFormat="1" applyFont="1" applyBorder="1" applyAlignment="1">
      <alignment horizontal="right" vertical="center"/>
    </xf>
    <xf fontId="1" fillId="0" borderId="6" numFmtId="165" xfId="0" applyNumberFormat="1" applyFont="1" applyBorder="1" applyAlignment="1">
      <alignment horizontal="center" vertical="center"/>
    </xf>
    <xf fontId="0" fillId="0" borderId="6" numFmtId="0" xfId="0" applyBorder="1" applyAlignment="1">
      <alignment horizontal="left" vertical="center"/>
    </xf>
    <xf fontId="2" fillId="0" borderId="8" numFmtId="0" xfId="0" applyFont="1" applyBorder="1" applyAlignment="1">
      <alignment horizontal="left" vertical="center"/>
    </xf>
    <xf fontId="1" fillId="0" borderId="6" numFmtId="165" xfId="0" applyNumberFormat="1" applyFont="1" applyBorder="1" applyAlignment="1">
      <alignment horizontal="right"/>
    </xf>
    <xf fontId="1" fillId="0" borderId="6" numFmtId="10" xfId="0" applyNumberFormat="1" applyFont="1" applyBorder="1" applyAlignment="1">
      <alignment horizontal="right"/>
    </xf>
    <xf fontId="0" fillId="0" borderId="6" numFmtId="10" xfId="0" applyNumberFormat="1" applyBorder="1" applyAlignment="1">
      <alignment horizontal="left"/>
    </xf>
    <xf fontId="0" fillId="0" borderId="6" numFmtId="165" xfId="0" applyNumberFormat="1" applyBorder="1" applyAlignment="1">
      <alignment horizontal="left"/>
    </xf>
    <xf fontId="2" fillId="0" borderId="6" numFmtId="0" xfId="0" applyFont="1" applyBorder="1" applyAlignment="1">
      <alignment horizontal="left" vertical="center"/>
    </xf>
    <xf fontId="2" fillId="0" borderId="6" numFmtId="165" xfId="0" applyNumberFormat="1" applyFont="1" applyBorder="1" applyAlignment="1">
      <alignment horizontal="right"/>
    </xf>
    <xf fontId="1" fillId="0" borderId="6" numFmtId="0" xfId="0" applyFont="1" applyBorder="1" applyAlignment="1">
      <alignment horizontal="center" vertical="center" wrapText="1"/>
    </xf>
    <xf fontId="0" fillId="0" borderId="7" numFmtId="0" xfId="0" applyBorder="1" applyAlignment="1">
      <alignment horizontal="left" vertical="center"/>
    </xf>
    <xf fontId="1" fillId="0" borderId="1" numFmtId="0" xfId="0" applyFont="1" applyBorder="1" applyAlignment="1">
      <alignment horizontal="left" vertical="center" wrapText="1"/>
    </xf>
    <xf fontId="0" fillId="5" borderId="2" numFmtId="0" xfId="0" applyFill="1" applyBorder="1" applyAlignment="1">
      <alignment horizontal="left" vertical="center"/>
    </xf>
    <xf fontId="1" fillId="0" borderId="2" numFmtId="0" xfId="0" applyFont="1" applyBorder="1" applyAlignment="1">
      <alignment horizontal="center" vertical="center" wrapText="1"/>
    </xf>
    <xf fontId="0" fillId="0" borderId="9" numFmtId="0" xfId="0" applyBorder="1" applyAlignment="1">
      <alignment horizontal="left"/>
    </xf>
    <xf fontId="0" fillId="0" borderId="5" numFmtId="0" xfId="0" applyBorder="1" applyAlignment="1">
      <alignment horizontal="left"/>
    </xf>
    <xf fontId="0" fillId="0" borderId="2" numFmtId="0" xfId="0" applyBorder="1" applyAlignment="1">
      <alignment horizontal="left"/>
    </xf>
    <xf fontId="1" fillId="2" borderId="1" numFmtId="0" xfId="0" applyFont="1" applyFill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/>
    </xf>
    <xf fontId="1" fillId="4" borderId="1" numFmtId="0" xfId="0" applyFont="1" applyFill="1" applyBorder="1" applyAlignment="1">
      <alignment horizontal="center" vertical="center"/>
    </xf>
    <xf fontId="1" fillId="0" borderId="7" numFmtId="164" xfId="0" applyNumberFormat="1" applyFont="1" applyBorder="1" applyAlignment="1">
      <alignment horizontal="right" vertical="center"/>
    </xf>
    <xf fontId="0" fillId="0" borderId="10" numFmtId="0" xfId="0" applyBorder="1" applyAlignment="1">
      <alignment horizontal="left"/>
    </xf>
    <xf fontId="0" fillId="0" borderId="4" numFmtId="0" xfId="0" applyBorder="1" applyAlignment="1">
      <alignment horizontal="left"/>
    </xf>
    <xf fontId="2" fillId="0" borderId="6" numFmtId="0" xfId="0" applyFont="1" applyBorder="1" applyAlignment="1">
      <alignment horizontal="center" vertical="center" wrapText="1"/>
    </xf>
    <xf fontId="1" fillId="0" borderId="6" numFmtId="0" xfId="0" applyFont="1" applyBorder="1" applyAlignment="1">
      <alignment horizontal="right" vertical="center"/>
    </xf>
    <xf fontId="1" fillId="0" borderId="6" numFmtId="0" xfId="0" applyFont="1" applyBorder="1" applyAlignment="1">
      <alignment horizontal="right"/>
    </xf>
    <xf fontId="1" fillId="0" borderId="6" numFmtId="166" xfId="0" applyNumberFormat="1" applyFont="1" applyBorder="1" applyAlignment="1">
      <alignment horizontal="right" vertical="center"/>
    </xf>
    <xf fontId="1" fillId="0" borderId="6" numFmtId="166" xfId="0" applyNumberFormat="1" applyFont="1" applyBorder="1" applyAlignment="1">
      <alignment horizontal="right"/>
    </xf>
    <xf fontId="2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right" vertical="center"/>
    </xf>
    <xf fontId="1" fillId="0" borderId="6" numFmtId="165" xfId="0" applyNumberFormat="1" applyFont="1" applyBorder="1" applyAlignment="1">
      <alignment horizontal="right" vertical="center"/>
    </xf>
    <xf fontId="1" fillId="0" borderId="2" numFmtId="166" xfId="0" applyNumberFormat="1" applyFont="1" applyBorder="1" applyAlignment="1">
      <alignment horizontal="right" vertical="center"/>
    </xf>
    <xf fontId="1" fillId="0" borderId="2" numFmtId="165" xfId="0" applyNumberFormat="1" applyFont="1" applyBorder="1" applyAlignment="1">
      <alignment horizontal="right" vertical="center"/>
    </xf>
    <xf fontId="3" fillId="0" borderId="0" numFmtId="0" xfId="0" applyFont="1" applyAlignment="1">
      <alignment horizontal="left"/>
    </xf>
    <xf fontId="0" fillId="0" borderId="7" numFmtId="0" xfId="0" applyBorder="1" applyAlignment="1">
      <alignment horizontal="left"/>
    </xf>
    <xf fontId="2" fillId="0" borderId="11" numFmtId="0" xfId="0" applyFont="1" applyBorder="1" applyAlignment="1">
      <alignment horizontal="center" vertical="center"/>
    </xf>
    <xf fontId="2" fillId="0" borderId="5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/>
    </xf>
    <xf fontId="0" fillId="0" borderId="1" numFmtId="0" xfId="0" applyBorder="1" applyAlignment="1">
      <alignment horizontal="left"/>
    </xf>
    <xf fontId="0" fillId="0" borderId="9" numFmtId="0" xfId="0" applyBorder="1" applyAlignment="1">
      <alignment horizontal="left" vertical="center"/>
    </xf>
    <xf fontId="2" fillId="0" borderId="6" numFmtId="0" xfId="0" applyFont="1" applyBorder="1" applyAlignment="1">
      <alignment horizontal="left"/>
    </xf>
    <xf fontId="2" fillId="0" borderId="6" numFmtId="0" xfId="0" applyFont="1" applyBorder="1" applyAlignment="1">
      <alignment horizontal="center"/>
    </xf>
    <xf fontId="4" fillId="0" borderId="0" numFmtId="0" xfId="0" applyFont="1" applyAlignment="1">
      <alignment horizontal="left"/>
    </xf>
    <xf fontId="2" fillId="0" borderId="0" numFmtId="0" xfId="0" applyFont="1" applyAlignment="1">
      <alignment horizontal="left"/>
    </xf>
    <xf fontId="1" fillId="0" borderId="6" numFmtId="0" xfId="0" applyFont="1" applyBorder="1" applyAlignment="1">
      <alignment horizontal="center"/>
    </xf>
    <xf fontId="1" fillId="0" borderId="6" numFmtId="0" xfId="0" applyFont="1" applyBorder="1" applyAlignment="1">
      <alignment horizontal="left"/>
    </xf>
    <xf fontId="0" fillId="0" borderId="6" numFmtId="0" xfId="0" applyBorder="1" applyAlignment="1">
      <alignment horizontal="left"/>
    </xf>
    <xf fontId="5" fillId="0" borderId="0" numFmtId="0" xfId="0" applyFont="1" applyAlignment="1">
      <alignment horizontal="left"/>
    </xf>
    <xf fontId="1" fillId="0" borderId="6" numFmtId="2" xfId="0" applyNumberFormat="1" applyFont="1" applyBorder="1" applyAlignment="1">
      <alignment horizontal="right" vertical="center"/>
    </xf>
    <xf fontId="2" fillId="0" borderId="7" numFmtId="0" xfId="0" applyFont="1" applyBorder="1" applyAlignment="1">
      <alignment horizontal="center" vertical="center"/>
    </xf>
    <xf fontId="2" fillId="0" borderId="6" numFmtId="0" xfId="0" applyFont="1" applyBorder="1" applyAlignment="1">
      <alignment horizontal="center" vertical="center"/>
    </xf>
    <xf fontId="1" fillId="0" borderId="6" numFmtId="2" xfId="0" applyNumberFormat="1" applyFont="1" applyBorder="1" applyAlignment="1">
      <alignment horizontal="right"/>
    </xf>
    <xf fontId="0" fillId="0" borderId="6" numFmtId="2" xfId="0" applyNumberFormat="1" applyBorder="1" applyAlignment="1">
      <alignment horizontal="left"/>
    </xf>
    <xf fontId="1" fillId="0" borderId="0" numFmtId="165" xfId="0" applyNumberFormat="1" applyFont="1" applyAlignment="1">
      <alignment horizontal="right"/>
    </xf>
    <xf fontId="0" fillId="0" borderId="0" numFmtId="2" xfId="0" applyNumberFormat="1" applyAlignment="1">
      <alignment horizontal="left"/>
    </xf>
    <xf fontId="1" fillId="0" borderId="0" numFmtId="166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9.453125"/>
    <col bestFit="1" min="2" max="2" width="6.8828125"/>
    <col bestFit="1" min="4" max="4" width="12.94140625"/>
    <col bestFit="1" min="5" max="5" width="7.80078125"/>
    <col bestFit="1" min="8" max="8" width="15.34375"/>
    <col bestFit="1" min="9" max="9" width="3.80078125"/>
  </cols>
  <sheetData>
    <row r="1" ht="14.25">
      <c r="A1" s="1" t="s">
        <v>0</v>
      </c>
      <c r="B1" s="2">
        <v>500</v>
      </c>
      <c r="C1" s="3"/>
      <c r="D1" s="4" t="s">
        <v>1</v>
      </c>
      <c r="E1" s="5"/>
      <c r="F1" s="3"/>
      <c r="G1" s="3"/>
      <c r="H1" s="6" t="s">
        <v>2</v>
      </c>
      <c r="I1" s="3"/>
    </row>
    <row r="2" ht="14.25">
      <c r="A2" s="1" t="s">
        <v>3</v>
      </c>
      <c r="B2" s="2">
        <v>20000</v>
      </c>
      <c r="C2" s="3"/>
      <c r="D2" s="1" t="s">
        <v>4</v>
      </c>
      <c r="E2" s="7">
        <v>3000</v>
      </c>
      <c r="F2" s="3"/>
      <c r="G2" s="3"/>
      <c r="H2" s="6" t="s">
        <v>5</v>
      </c>
      <c r="I2" s="8">
        <v>70</v>
      </c>
    </row>
    <row r="3" ht="14.25">
      <c r="A3" s="1" t="s">
        <v>6</v>
      </c>
      <c r="B3" s="2">
        <v>30000</v>
      </c>
      <c r="C3" s="3"/>
      <c r="D3" s="1" t="s">
        <v>7</v>
      </c>
      <c r="E3" s="7">
        <v>12000</v>
      </c>
      <c r="F3" s="3"/>
      <c r="G3" s="3"/>
      <c r="H3" s="6" t="s">
        <v>8</v>
      </c>
      <c r="I3" s="8">
        <v>82</v>
      </c>
    </row>
    <row r="4" ht="14.25">
      <c r="A4" s="1" t="s">
        <v>9</v>
      </c>
      <c r="B4" s="2">
        <v>30000</v>
      </c>
      <c r="C4" s="3"/>
      <c r="D4" s="1" t="s">
        <v>10</v>
      </c>
      <c r="E4" s="7">
        <v>17000</v>
      </c>
      <c r="F4" s="3"/>
      <c r="G4" s="3"/>
      <c r="H4" s="3"/>
      <c r="I4" s="8">
        <v>152</v>
      </c>
    </row>
    <row r="5" ht="14.25">
      <c r="A5" s="1" t="s">
        <v>11</v>
      </c>
      <c r="B5" s="2">
        <v>10000</v>
      </c>
      <c r="C5" s="3"/>
      <c r="D5" s="1" t="s">
        <v>12</v>
      </c>
      <c r="E5" s="7">
        <v>18000</v>
      </c>
      <c r="F5" s="3"/>
      <c r="G5" s="3"/>
      <c r="H5" s="3"/>
      <c r="I5" s="3"/>
    </row>
    <row r="6" ht="14.25">
      <c r="A6" s="1" t="s">
        <v>13</v>
      </c>
      <c r="B6" s="2">
        <v>1500</v>
      </c>
      <c r="C6" s="3"/>
      <c r="D6" s="3"/>
      <c r="E6" s="3"/>
      <c r="F6" s="3"/>
      <c r="G6" s="3"/>
      <c r="H6" s="3"/>
      <c r="I6" s="3"/>
    </row>
    <row r="7" ht="14.25">
      <c r="A7" s="1" t="s">
        <v>14</v>
      </c>
      <c r="B7" s="2">
        <v>2000</v>
      </c>
      <c r="C7" s="3"/>
      <c r="D7" s="3"/>
      <c r="E7" s="3"/>
      <c r="F7" s="3"/>
      <c r="G7" s="3"/>
      <c r="H7" s="3"/>
      <c r="I7" s="3"/>
    </row>
    <row r="8" ht="14.25">
      <c r="A8" s="1" t="s">
        <v>15</v>
      </c>
      <c r="B8" s="2">
        <v>2035</v>
      </c>
      <c r="C8" s="3"/>
      <c r="D8" s="3"/>
      <c r="E8" s="3"/>
      <c r="F8" s="3"/>
      <c r="G8" s="3"/>
      <c r="H8" s="3"/>
      <c r="I8" s="3"/>
    </row>
    <row r="9" ht="14.25">
      <c r="A9" s="1" t="s">
        <v>16</v>
      </c>
      <c r="B9" s="2">
        <v>1485</v>
      </c>
      <c r="C9" s="3"/>
      <c r="D9" s="3"/>
      <c r="E9" s="3"/>
      <c r="F9" s="3"/>
      <c r="G9" s="3"/>
      <c r="H9" s="3"/>
      <c r="I9" s="3"/>
    </row>
    <row r="10" ht="14.25">
      <c r="A10" s="1" t="s">
        <v>17</v>
      </c>
      <c r="B10" s="2">
        <v>8000</v>
      </c>
      <c r="C10" s="3"/>
      <c r="D10" s="3"/>
      <c r="E10" s="3"/>
      <c r="F10" s="3"/>
      <c r="G10" s="3"/>
      <c r="H10" s="3"/>
      <c r="I10" s="3"/>
    </row>
    <row r="11" ht="14.25">
      <c r="A11" s="1" t="s">
        <v>18</v>
      </c>
      <c r="B11" s="2">
        <v>50000</v>
      </c>
      <c r="C11" s="3"/>
      <c r="D11" s="3"/>
      <c r="E11" s="3"/>
      <c r="F11" s="3"/>
      <c r="G11" s="3"/>
      <c r="H11" s="3"/>
      <c r="I11" s="3"/>
    </row>
    <row r="12" ht="14.25">
      <c r="A12" s="1" t="s">
        <v>19</v>
      </c>
      <c r="B12" s="2">
        <v>2400</v>
      </c>
      <c r="C12" s="3"/>
      <c r="D12" s="3"/>
      <c r="E12" s="3"/>
      <c r="F12" s="3"/>
      <c r="G12" s="3"/>
      <c r="H12" s="3"/>
      <c r="I12" s="3"/>
    </row>
    <row r="13" ht="14.25">
      <c r="A13" s="1" t="s">
        <v>20</v>
      </c>
      <c r="B13" s="2">
        <v>5000</v>
      </c>
      <c r="C13" s="3"/>
      <c r="D13" s="3"/>
      <c r="E13" s="3"/>
      <c r="F13" s="3"/>
      <c r="G13" s="3"/>
      <c r="H13" s="3"/>
      <c r="I13" s="3"/>
    </row>
    <row r="14" ht="14.25">
      <c r="A14" s="1" t="s">
        <v>21</v>
      </c>
      <c r="B14" s="2">
        <v>1500</v>
      </c>
      <c r="C14" s="3"/>
      <c r="D14" s="3"/>
      <c r="E14" s="3"/>
      <c r="F14" s="3"/>
      <c r="G14" s="3"/>
      <c r="H14" s="3"/>
      <c r="I14" s="3"/>
    </row>
    <row r="15" ht="14.25">
      <c r="A15" s="1" t="s">
        <v>22</v>
      </c>
      <c r="B15" s="2">
        <v>164420</v>
      </c>
      <c r="C15" s="3"/>
      <c r="D15" s="3"/>
      <c r="E15" s="3"/>
      <c r="F15" s="3"/>
      <c r="G15" s="3"/>
      <c r="H15" s="3"/>
      <c r="I15" s="3"/>
    </row>
    <row r="16" ht="14.25">
      <c r="A16" s="3"/>
      <c r="B16" s="3"/>
      <c r="C16" s="3"/>
      <c r="D16" s="3"/>
      <c r="E16" s="3"/>
      <c r="F16" s="3"/>
      <c r="G16" s="3"/>
      <c r="H16" s="3"/>
      <c r="I16" s="3"/>
    </row>
    <row r="17" ht="14.25">
      <c r="A17" s="3"/>
      <c r="B17" s="3"/>
      <c r="C17" s="3"/>
      <c r="D17" s="3"/>
      <c r="E17" s="3"/>
      <c r="F17" s="3"/>
      <c r="G17" s="3"/>
      <c r="H17" s="3"/>
      <c r="I17" s="3"/>
    </row>
    <row r="18" ht="14.25">
      <c r="A18" s="9"/>
      <c r="B18" s="3"/>
      <c r="C18" s="3"/>
      <c r="D18" s="3"/>
      <c r="E18" s="3"/>
      <c r="F18" s="3"/>
      <c r="G18" s="3"/>
      <c r="H18" s="3"/>
      <c r="I18" s="3"/>
    </row>
    <row r="19" ht="14.25">
      <c r="A19" s="6" t="s">
        <v>23</v>
      </c>
      <c r="B19" s="3"/>
      <c r="C19" s="3"/>
      <c r="D19" s="6" t="s">
        <v>24</v>
      </c>
      <c r="E19" s="3"/>
      <c r="F19" s="3"/>
      <c r="G19" s="3"/>
      <c r="H19" s="3"/>
      <c r="I19" s="3"/>
    </row>
    <row r="20" ht="14.25">
      <c r="A20" s="6" t="s">
        <v>5</v>
      </c>
      <c r="B20" s="8">
        <v>1850</v>
      </c>
      <c r="C20" s="3"/>
      <c r="D20" s="8">
        <v>1825</v>
      </c>
      <c r="E20" s="3"/>
      <c r="F20" s="3"/>
      <c r="G20" s="3"/>
      <c r="H20" s="3"/>
      <c r="I20" s="3"/>
    </row>
    <row r="21" ht="14.25">
      <c r="A21" s="6" t="s">
        <v>8</v>
      </c>
      <c r="B21" s="8">
        <v>1350</v>
      </c>
      <c r="C21" s="3"/>
      <c r="D21" s="8">
        <v>1325</v>
      </c>
      <c r="E21" s="3"/>
      <c r="F21" s="3"/>
      <c r="G21" s="3"/>
      <c r="H21" s="3"/>
      <c r="I21" s="3"/>
    </row>
    <row r="22" ht="14.25">
      <c r="A22" s="3"/>
      <c r="B22" s="8">
        <v>3200</v>
      </c>
      <c r="C22" s="3"/>
      <c r="D22" s="8">
        <v>3150</v>
      </c>
      <c r="E22" s="3"/>
      <c r="F22" s="3"/>
      <c r="G22" s="3"/>
      <c r="H22" s="3"/>
      <c r="I22" s="3"/>
    </row>
    <row r="23" ht="14.25">
      <c r="A23" s="3"/>
      <c r="B23" s="3"/>
      <c r="C23" s="3"/>
      <c r="D23" s="3"/>
      <c r="E23" s="3"/>
      <c r="F23" s="3"/>
      <c r="G23" s="3"/>
      <c r="H23" s="3"/>
      <c r="I23" s="3"/>
    </row>
    <row r="24" ht="14.25">
      <c r="A24" s="10" t="s">
        <v>25</v>
      </c>
      <c r="B24" s="11" t="s">
        <v>26</v>
      </c>
      <c r="C24" s="3"/>
      <c r="D24" s="3"/>
      <c r="E24" s="3"/>
      <c r="F24" s="3"/>
      <c r="G24" s="3"/>
      <c r="H24" s="3"/>
      <c r="I24" s="3"/>
    </row>
    <row r="25" ht="14.25">
      <c r="A25" s="1" t="s">
        <v>27</v>
      </c>
      <c r="B25" s="2">
        <v>6400</v>
      </c>
      <c r="C25" s="3"/>
      <c r="D25" s="3"/>
      <c r="E25" s="3"/>
      <c r="F25" s="3"/>
      <c r="G25" s="3"/>
      <c r="H25" s="3"/>
      <c r="I25" s="3"/>
    </row>
    <row r="26" ht="14.25">
      <c r="A26" s="1" t="s">
        <v>6</v>
      </c>
      <c r="B26" s="2">
        <v>3200</v>
      </c>
      <c r="C26" s="3"/>
      <c r="D26" s="3"/>
      <c r="E26" s="3"/>
      <c r="F26" s="3"/>
      <c r="G26" s="3"/>
      <c r="H26" s="3"/>
      <c r="I26" s="3"/>
    </row>
    <row r="27" ht="14.25">
      <c r="A27" s="1" t="s">
        <v>9</v>
      </c>
      <c r="B27" s="2">
        <v>3200</v>
      </c>
      <c r="C27" s="3"/>
      <c r="D27" s="3"/>
      <c r="E27" s="3"/>
      <c r="F27" s="3"/>
      <c r="G27" s="3"/>
      <c r="H27" s="3"/>
      <c r="I27" s="3"/>
    </row>
    <row r="28" ht="14.25">
      <c r="A28" s="1" t="s">
        <v>11</v>
      </c>
      <c r="B28" s="2">
        <v>3200</v>
      </c>
      <c r="C28" s="3"/>
      <c r="D28" s="3"/>
      <c r="E28" s="3"/>
      <c r="F28" s="3"/>
      <c r="G28" s="3"/>
      <c r="H28" s="3"/>
      <c r="I28" s="3"/>
    </row>
    <row r="29" ht="14.25">
      <c r="A29" s="1" t="s">
        <v>28</v>
      </c>
      <c r="B29" s="2">
        <v>1350</v>
      </c>
      <c r="C29" s="3"/>
      <c r="D29" s="3"/>
      <c r="E29" s="3"/>
      <c r="F29" s="3"/>
      <c r="G29" s="3"/>
      <c r="H29" s="3"/>
      <c r="I29" s="3"/>
    </row>
    <row r="30" ht="14.25">
      <c r="A30" s="1" t="s">
        <v>29</v>
      </c>
      <c r="B30" s="2">
        <v>1850</v>
      </c>
      <c r="C30" s="3"/>
      <c r="D30" s="3"/>
      <c r="E30" s="3"/>
      <c r="F30" s="3"/>
      <c r="G30" s="3"/>
      <c r="H30" s="3"/>
      <c r="I30" s="3"/>
    </row>
    <row r="31" ht="14.25">
      <c r="A31" s="1" t="s">
        <v>30</v>
      </c>
      <c r="B31" s="2">
        <v>1850</v>
      </c>
      <c r="C31" s="3"/>
      <c r="D31" s="3"/>
      <c r="E31" s="3"/>
      <c r="F31" s="3"/>
      <c r="G31" s="3"/>
      <c r="H31" s="3"/>
      <c r="I31" s="3"/>
    </row>
    <row r="32" ht="14.25">
      <c r="A32" s="1" t="s">
        <v>31</v>
      </c>
      <c r="B32" s="2">
        <v>1350</v>
      </c>
      <c r="C32" s="3"/>
      <c r="D32" s="3"/>
      <c r="E32" s="3"/>
      <c r="F32" s="3"/>
      <c r="G32" s="3"/>
      <c r="H32" s="3"/>
      <c r="I32" s="3"/>
    </row>
    <row r="33" ht="14.25">
      <c r="A33" s="1" t="s">
        <v>17</v>
      </c>
      <c r="B33" s="2">
        <v>3200</v>
      </c>
      <c r="C33" s="3"/>
      <c r="D33" s="3"/>
      <c r="E33" s="3"/>
      <c r="F33" s="3"/>
      <c r="G33" s="3"/>
      <c r="H33" s="3"/>
      <c r="I33" s="3"/>
    </row>
  </sheetData>
  <mergeCells count="1">
    <mergeCell ref="D1:E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6" zoomScale="100" workbookViewId="0">
      <selection activeCell="A1" activeCellId="0" sqref="A1"/>
    </sheetView>
  </sheetViews>
  <sheetFormatPr defaultRowHeight="14.25"/>
  <cols>
    <col bestFit="1" min="1" max="1" width="30.00390625"/>
    <col bestFit="1" min="2" max="2" width="9.40234375"/>
    <col bestFit="1" min="3" max="3" width="13.421875"/>
    <col bestFit="1" min="4" max="4" width="13.57421875"/>
    <col bestFit="1" min="5" max="5" width="12.140625"/>
    <col bestFit="1" min="6" max="7" width="16.57421875"/>
    <col bestFit="1" min="8" max="8" width="11.28125"/>
    <col bestFit="1" min="10" max="10" width="24.140625"/>
  </cols>
  <sheetData>
    <row r="1">
      <c r="A1" s="3"/>
      <c r="B1" s="3"/>
      <c r="C1" s="4" t="s">
        <v>32</v>
      </c>
      <c r="D1" s="5"/>
      <c r="E1" s="4" t="s">
        <v>33</v>
      </c>
      <c r="F1" s="5"/>
      <c r="G1" s="5"/>
      <c r="H1" s="3"/>
      <c r="I1" s="3"/>
      <c r="J1" s="3"/>
    </row>
    <row r="2">
      <c r="A2" s="3"/>
      <c r="B2" s="3"/>
      <c r="C2" s="12" t="s">
        <v>19</v>
      </c>
      <c r="D2" s="13" t="s">
        <v>34</v>
      </c>
      <c r="E2" s="14" t="s">
        <v>35</v>
      </c>
      <c r="F2" s="15" t="s">
        <v>36</v>
      </c>
      <c r="G2" s="16" t="s">
        <v>37</v>
      </c>
      <c r="H2" s="17" t="s">
        <v>22</v>
      </c>
      <c r="I2" s="18"/>
      <c r="J2" s="19" t="s">
        <v>38</v>
      </c>
    </row>
    <row r="3">
      <c r="A3" s="20" t="s">
        <v>0</v>
      </c>
      <c r="B3" s="21">
        <v>500</v>
      </c>
      <c r="C3" s="22">
        <v>0.25</v>
      </c>
      <c r="D3" s="23">
        <v>0.050000000000000003</v>
      </c>
      <c r="E3" s="23">
        <v>0.050000000000000003</v>
      </c>
      <c r="F3" s="23">
        <v>0.59999999999999998</v>
      </c>
      <c r="G3" s="24">
        <v>0.050000000000000003</v>
      </c>
      <c r="H3" s="25">
        <f t="shared" ref="H3:H9" si="0">SUM(C3:G3)</f>
        <v>1</v>
      </c>
      <c r="I3" s="26"/>
      <c r="J3" s="6" t="s">
        <v>39</v>
      </c>
    </row>
    <row r="4">
      <c r="A4" s="1" t="s">
        <v>18</v>
      </c>
      <c r="B4" s="27"/>
      <c r="C4" s="28"/>
      <c r="D4" s="29"/>
      <c r="E4" s="29"/>
      <c r="F4" s="29"/>
      <c r="G4" s="27"/>
      <c r="H4" s="25">
        <f t="shared" si="0"/>
        <v>0</v>
      </c>
      <c r="I4" s="30"/>
      <c r="J4" s="6" t="s">
        <v>40</v>
      </c>
    </row>
    <row r="5">
      <c r="A5" s="1" t="s">
        <v>41</v>
      </c>
      <c r="B5" s="31">
        <v>3000</v>
      </c>
      <c r="C5" s="22">
        <v>1</v>
      </c>
      <c r="D5" s="29"/>
      <c r="E5" s="29"/>
      <c r="F5" s="29"/>
      <c r="G5" s="27"/>
      <c r="H5" s="25">
        <f t="shared" si="0"/>
        <v>1</v>
      </c>
      <c r="I5" s="3"/>
      <c r="J5" s="3"/>
    </row>
    <row r="6">
      <c r="A6" s="1" t="s">
        <v>42</v>
      </c>
      <c r="B6" s="31">
        <v>12000</v>
      </c>
      <c r="C6" s="28"/>
      <c r="D6" s="29"/>
      <c r="E6" s="29"/>
      <c r="F6" s="23">
        <v>1</v>
      </c>
      <c r="G6" s="27"/>
      <c r="H6" s="25">
        <f t="shared" si="0"/>
        <v>1</v>
      </c>
      <c r="I6" s="3"/>
      <c r="J6" s="3"/>
    </row>
    <row r="7">
      <c r="A7" s="1" t="s">
        <v>43</v>
      </c>
      <c r="B7" s="31">
        <v>17000</v>
      </c>
      <c r="C7" s="28"/>
      <c r="D7" s="29"/>
      <c r="E7" s="23">
        <v>1</v>
      </c>
      <c r="F7" s="29"/>
      <c r="G7" s="27"/>
      <c r="H7" s="25">
        <f t="shared" si="0"/>
        <v>1</v>
      </c>
      <c r="I7" s="3"/>
      <c r="J7" s="3"/>
    </row>
    <row r="8">
      <c r="A8" s="1" t="s">
        <v>44</v>
      </c>
      <c r="B8" s="31">
        <v>18000</v>
      </c>
      <c r="C8" s="28"/>
      <c r="D8" s="23">
        <v>0.20000000000000001</v>
      </c>
      <c r="E8" s="29"/>
      <c r="F8" s="29"/>
      <c r="G8" s="24">
        <v>0.80000000000000004</v>
      </c>
      <c r="H8" s="25">
        <f t="shared" si="0"/>
        <v>1</v>
      </c>
      <c r="I8" s="3"/>
      <c r="J8" s="3"/>
    </row>
    <row r="9">
      <c r="A9" s="1" t="s">
        <v>19</v>
      </c>
      <c r="B9" s="31">
        <v>2400</v>
      </c>
      <c r="C9" s="22">
        <v>1</v>
      </c>
      <c r="D9" s="29"/>
      <c r="E9" s="29"/>
      <c r="F9" s="29"/>
      <c r="G9" s="27"/>
      <c r="H9" s="25">
        <f t="shared" si="0"/>
        <v>1</v>
      </c>
      <c r="I9" s="3"/>
      <c r="J9" s="3"/>
    </row>
    <row r="10">
      <c r="A10" s="1" t="s">
        <v>20</v>
      </c>
      <c r="B10" s="31">
        <v>5000</v>
      </c>
      <c r="C10" s="28"/>
      <c r="D10" s="29"/>
      <c r="E10" s="29"/>
      <c r="F10" s="29"/>
      <c r="G10" s="24">
        <v>1</v>
      </c>
      <c r="H10" s="25">
        <f t="shared" ref="H10:H31" si="1">SUM(C10:G10)</f>
        <v>1</v>
      </c>
      <c r="I10" s="3"/>
      <c r="J10" s="3"/>
    </row>
    <row r="11">
      <c r="A11" s="1" t="s">
        <v>21</v>
      </c>
      <c r="B11" s="31">
        <v>1500</v>
      </c>
      <c r="C11" s="28"/>
      <c r="D11" s="29"/>
      <c r="E11" s="29"/>
      <c r="F11" s="29"/>
      <c r="G11" s="24">
        <v>1</v>
      </c>
      <c r="H11" s="25">
        <f t="shared" si="1"/>
        <v>1</v>
      </c>
      <c r="I11" s="3"/>
      <c r="J11" s="3"/>
    </row>
    <row r="12">
      <c r="A12" s="3"/>
      <c r="B12" s="32">
        <f>SUM(B3:B11)</f>
        <v>59400</v>
      </c>
      <c r="C12" s="3"/>
      <c r="D12" s="3"/>
      <c r="E12" s="3"/>
      <c r="F12" s="3"/>
      <c r="G12" s="3"/>
      <c r="H12" s="3"/>
      <c r="I12" s="3"/>
      <c r="J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4" t="s">
        <v>32</v>
      </c>
      <c r="D15" s="33"/>
      <c r="E15" s="4" t="s">
        <v>33</v>
      </c>
      <c r="F15" s="5"/>
      <c r="G15" s="33"/>
      <c r="H15" s="34"/>
      <c r="I15" s="3"/>
      <c r="J15" s="3"/>
    </row>
    <row r="16">
      <c r="A16" s="3"/>
      <c r="B16" s="3"/>
      <c r="C16" s="17" t="s">
        <v>19</v>
      </c>
      <c r="D16" s="17" t="s">
        <v>34</v>
      </c>
      <c r="E16" s="17" t="s">
        <v>35</v>
      </c>
      <c r="F16" s="17" t="s">
        <v>36</v>
      </c>
      <c r="G16" s="17" t="s">
        <v>37</v>
      </c>
      <c r="H16" s="17" t="s">
        <v>22</v>
      </c>
      <c r="I16" s="3"/>
      <c r="J16" s="3"/>
    </row>
    <row r="17">
      <c r="A17" s="20" t="s">
        <v>0</v>
      </c>
      <c r="B17" s="35">
        <f>Données!$B$1</f>
        <v>500</v>
      </c>
      <c r="C17" s="36">
        <f t="shared" ref="C17:C23" si="2">$B17*C3</f>
        <v>125</v>
      </c>
      <c r="D17" s="36">
        <f t="shared" ref="D17:D23" si="3">$B17*D3</f>
        <v>25</v>
      </c>
      <c r="E17" s="36">
        <f t="shared" ref="E17:E23" si="4">$B17*E3</f>
        <v>25</v>
      </c>
      <c r="F17" s="36">
        <f t="shared" ref="F17:F23" si="5">$B17*F3</f>
        <v>300</v>
      </c>
      <c r="G17" s="36">
        <f t="shared" ref="G17:G23" si="6">$B17*G3</f>
        <v>25</v>
      </c>
      <c r="H17" s="36">
        <f t="shared" si="1"/>
        <v>500</v>
      </c>
      <c r="I17" s="3"/>
      <c r="J17" s="3"/>
    </row>
    <row r="18">
      <c r="A18" s="20" t="s">
        <v>18</v>
      </c>
      <c r="B18" s="37"/>
      <c r="C18" s="36">
        <f t="shared" si="2"/>
        <v>0</v>
      </c>
      <c r="D18" s="36">
        <f t="shared" si="3"/>
        <v>0</v>
      </c>
      <c r="E18" s="36">
        <f t="shared" si="4"/>
        <v>0</v>
      </c>
      <c r="F18" s="36">
        <f t="shared" si="5"/>
        <v>0</v>
      </c>
      <c r="G18" s="36">
        <f t="shared" si="6"/>
        <v>0</v>
      </c>
      <c r="H18" s="36">
        <f t="shared" si="1"/>
        <v>0</v>
      </c>
      <c r="I18" s="3"/>
      <c r="J18" s="3"/>
    </row>
    <row r="19">
      <c r="A19" s="20" t="s">
        <v>41</v>
      </c>
      <c r="B19" s="35">
        <f>Données!$E$2</f>
        <v>3000</v>
      </c>
      <c r="C19" s="36">
        <f t="shared" si="2"/>
        <v>3000</v>
      </c>
      <c r="D19" s="36">
        <f t="shared" si="3"/>
        <v>0</v>
      </c>
      <c r="E19" s="36">
        <f t="shared" si="4"/>
        <v>0</v>
      </c>
      <c r="F19" s="36">
        <f t="shared" si="5"/>
        <v>0</v>
      </c>
      <c r="G19" s="36">
        <f t="shared" si="6"/>
        <v>0</v>
      </c>
      <c r="H19" s="36">
        <f t="shared" si="1"/>
        <v>3000</v>
      </c>
      <c r="I19" s="3"/>
      <c r="J19" s="3"/>
    </row>
    <row r="20">
      <c r="A20" s="20" t="s">
        <v>42</v>
      </c>
      <c r="B20" s="35">
        <f>Données!$E$3</f>
        <v>12000</v>
      </c>
      <c r="C20" s="36">
        <f t="shared" si="2"/>
        <v>0</v>
      </c>
      <c r="D20" s="36">
        <f t="shared" si="3"/>
        <v>0</v>
      </c>
      <c r="E20" s="36">
        <f t="shared" si="4"/>
        <v>0</v>
      </c>
      <c r="F20" s="36">
        <f t="shared" si="5"/>
        <v>12000</v>
      </c>
      <c r="G20" s="36">
        <f t="shared" si="6"/>
        <v>0</v>
      </c>
      <c r="H20" s="36">
        <f t="shared" si="1"/>
        <v>12000</v>
      </c>
      <c r="I20" s="3"/>
      <c r="J20" s="3"/>
    </row>
    <row r="21">
      <c r="A21" s="20" t="s">
        <v>43</v>
      </c>
      <c r="B21" s="35">
        <f>Données!$E$4</f>
        <v>17000</v>
      </c>
      <c r="C21" s="36">
        <f t="shared" si="2"/>
        <v>0</v>
      </c>
      <c r="D21" s="36">
        <f t="shared" si="3"/>
        <v>0</v>
      </c>
      <c r="E21" s="36">
        <f t="shared" si="4"/>
        <v>17000</v>
      </c>
      <c r="F21" s="36">
        <f t="shared" si="5"/>
        <v>0</v>
      </c>
      <c r="G21" s="36">
        <f t="shared" si="6"/>
        <v>0</v>
      </c>
      <c r="H21" s="36">
        <f t="shared" si="1"/>
        <v>17000</v>
      </c>
      <c r="I21" s="3"/>
      <c r="J21" s="3"/>
    </row>
    <row r="22">
      <c r="A22" s="20" t="s">
        <v>44</v>
      </c>
      <c r="B22" s="35">
        <f>Données!$E$5</f>
        <v>18000</v>
      </c>
      <c r="C22" s="36">
        <f t="shared" si="2"/>
        <v>0</v>
      </c>
      <c r="D22" s="36">
        <f t="shared" si="3"/>
        <v>3600</v>
      </c>
      <c r="E22" s="36">
        <f t="shared" si="4"/>
        <v>0</v>
      </c>
      <c r="F22" s="36">
        <f t="shared" si="5"/>
        <v>0</v>
      </c>
      <c r="G22" s="36">
        <f t="shared" si="6"/>
        <v>14400</v>
      </c>
      <c r="H22" s="36">
        <f t="shared" si="1"/>
        <v>18000</v>
      </c>
      <c r="I22" s="3"/>
      <c r="J22" s="3"/>
    </row>
    <row r="23">
      <c r="A23" s="20" t="s">
        <v>19</v>
      </c>
      <c r="B23" s="35">
        <f>Données!$B$12</f>
        <v>2400</v>
      </c>
      <c r="C23" s="36">
        <f t="shared" si="2"/>
        <v>2400</v>
      </c>
      <c r="D23" s="36">
        <f t="shared" si="3"/>
        <v>0</v>
      </c>
      <c r="E23" s="36">
        <f t="shared" si="4"/>
        <v>0</v>
      </c>
      <c r="F23" s="36">
        <f t="shared" si="5"/>
        <v>0</v>
      </c>
      <c r="G23" s="36">
        <f t="shared" si="6"/>
        <v>0</v>
      </c>
      <c r="H23" s="36">
        <f t="shared" si="1"/>
        <v>2400</v>
      </c>
      <c r="I23" s="3"/>
      <c r="J23" s="3"/>
    </row>
    <row r="24">
      <c r="A24" s="20" t="s">
        <v>20</v>
      </c>
      <c r="B24" s="35">
        <f>Données!$B$13</f>
        <v>5000</v>
      </c>
      <c r="C24" s="36">
        <f t="shared" ref="C24:C25" si="7">$B24*C10</f>
        <v>0</v>
      </c>
      <c r="D24" s="36">
        <f t="shared" ref="D24:D25" si="8">$B24*D10</f>
        <v>0</v>
      </c>
      <c r="E24" s="36">
        <f t="shared" ref="E24:E25" si="9">$B24*E10</f>
        <v>0</v>
      </c>
      <c r="F24" s="36">
        <f t="shared" ref="F24:F25" si="10">$B24*F10</f>
        <v>0</v>
      </c>
      <c r="G24" s="36">
        <f t="shared" ref="G24:G25" si="11">$B24*G10</f>
        <v>5000</v>
      </c>
      <c r="H24" s="36">
        <f t="shared" si="1"/>
        <v>5000</v>
      </c>
      <c r="I24" s="3"/>
      <c r="J24" s="3"/>
    </row>
    <row r="25">
      <c r="A25" s="20" t="s">
        <v>21</v>
      </c>
      <c r="B25" s="35">
        <f>Données!$B$14</f>
        <v>1500</v>
      </c>
      <c r="C25" s="36">
        <f t="shared" si="7"/>
        <v>0</v>
      </c>
      <c r="D25" s="36">
        <f t="shared" si="8"/>
        <v>0</v>
      </c>
      <c r="E25" s="36">
        <f t="shared" si="9"/>
        <v>0</v>
      </c>
      <c r="F25" s="36">
        <f t="shared" si="10"/>
        <v>0</v>
      </c>
      <c r="G25" s="36">
        <f t="shared" si="11"/>
        <v>1500</v>
      </c>
      <c r="H25" s="36">
        <f t="shared" si="1"/>
        <v>1500</v>
      </c>
      <c r="I25" s="3"/>
      <c r="J25" s="3"/>
    </row>
    <row r="26">
      <c r="A26" s="20" t="s">
        <v>22</v>
      </c>
      <c r="B26" s="35">
        <f>SUM(B17:B25)</f>
        <v>59400</v>
      </c>
      <c r="C26" s="36">
        <f>SUM(C17:C25)</f>
        <v>5525</v>
      </c>
      <c r="D26" s="36">
        <f>SUM(D17:D25)</f>
        <v>3625</v>
      </c>
      <c r="E26" s="36">
        <f>SUM(E17:E25)</f>
        <v>17025</v>
      </c>
      <c r="F26" s="36">
        <f>SUM(F17:F25)</f>
        <v>12300</v>
      </c>
      <c r="G26" s="36">
        <f>SUM(G17:G25)</f>
        <v>20925</v>
      </c>
      <c r="H26" s="34"/>
      <c r="I26" s="3"/>
      <c r="J26" s="3"/>
    </row>
    <row r="27">
      <c r="A27" s="38" t="s">
        <v>45</v>
      </c>
      <c r="B27" s="3"/>
      <c r="C27" s="3"/>
      <c r="D27" s="3"/>
      <c r="E27" s="3"/>
      <c r="F27" s="3"/>
      <c r="G27" s="3"/>
      <c r="H27" s="3"/>
      <c r="I27" s="3"/>
      <c r="J27" s="3"/>
    </row>
    <row r="28">
      <c r="A28" s="17" t="s">
        <v>19</v>
      </c>
      <c r="B28" s="39">
        <f>C26</f>
        <v>5525</v>
      </c>
      <c r="C28" s="40">
        <v>-1</v>
      </c>
      <c r="D28" s="41"/>
      <c r="E28" s="40">
        <v>0.25</v>
      </c>
      <c r="F28" s="40">
        <v>0.5</v>
      </c>
      <c r="G28" s="40">
        <v>0.25</v>
      </c>
      <c r="H28" s="36">
        <f t="shared" si="1"/>
        <v>0</v>
      </c>
      <c r="I28" s="3"/>
      <c r="J28" s="3"/>
    </row>
    <row r="29">
      <c r="A29" s="17" t="s">
        <v>34</v>
      </c>
      <c r="B29" s="39">
        <f>D26</f>
        <v>3625</v>
      </c>
      <c r="C29" s="41"/>
      <c r="D29" s="40">
        <v>-1</v>
      </c>
      <c r="E29" s="40">
        <v>0.25</v>
      </c>
      <c r="F29" s="40">
        <v>0.25</v>
      </c>
      <c r="G29" s="40">
        <v>0.5</v>
      </c>
      <c r="H29" s="36">
        <f t="shared" si="1"/>
        <v>0</v>
      </c>
      <c r="I29" s="3"/>
      <c r="J29" s="3"/>
    </row>
    <row r="30">
      <c r="A30" s="34"/>
      <c r="B30" s="42"/>
      <c r="C30" s="42"/>
      <c r="D30" s="42"/>
      <c r="E30" s="42"/>
      <c r="F30" s="42"/>
      <c r="G30" s="42"/>
      <c r="H30" s="42"/>
      <c r="I30" s="3"/>
      <c r="J30" s="3"/>
    </row>
    <row r="31">
      <c r="A31" s="17" t="s">
        <v>19</v>
      </c>
      <c r="B31" s="39">
        <f t="shared" ref="B31:B32" si="12">B28</f>
        <v>5525</v>
      </c>
      <c r="C31" s="39">
        <f t="shared" ref="C31:C32" si="13">$B31*C28</f>
        <v>-5525</v>
      </c>
      <c r="D31" s="39">
        <f t="shared" ref="D31:D32" si="14">$B31*D28</f>
        <v>0</v>
      </c>
      <c r="E31" s="39">
        <f t="shared" ref="E31:E32" si="15">$B31*E28</f>
        <v>1381.25</v>
      </c>
      <c r="F31" s="39">
        <f t="shared" ref="F31:F32" si="16">$B31*F28</f>
        <v>2762.5</v>
      </c>
      <c r="G31" s="39">
        <f t="shared" ref="G31:G32" si="17">$B31*G28</f>
        <v>1381.25</v>
      </c>
      <c r="H31" s="36">
        <f t="shared" si="1"/>
        <v>0</v>
      </c>
      <c r="I31" s="3"/>
      <c r="J31" s="3"/>
    </row>
    <row r="32">
      <c r="A32" s="17" t="s">
        <v>34</v>
      </c>
      <c r="B32" s="39">
        <f t="shared" si="12"/>
        <v>3625</v>
      </c>
      <c r="C32" s="39">
        <f t="shared" si="13"/>
        <v>0</v>
      </c>
      <c r="D32" s="39">
        <f t="shared" si="14"/>
        <v>-3625</v>
      </c>
      <c r="E32" s="39">
        <f t="shared" si="15"/>
        <v>906.25</v>
      </c>
      <c r="F32" s="39">
        <f t="shared" si="16"/>
        <v>906.25</v>
      </c>
      <c r="G32" s="39">
        <f t="shared" si="17"/>
        <v>1812.5</v>
      </c>
      <c r="H32" s="36">
        <v>0</v>
      </c>
      <c r="I32" s="3"/>
      <c r="J32" s="3"/>
    </row>
    <row r="33">
      <c r="A33" s="17" t="s">
        <v>22</v>
      </c>
      <c r="B33" s="42"/>
      <c r="C33" s="39">
        <f>SUM(C31:C32)</f>
        <v>-5525</v>
      </c>
      <c r="D33" s="39">
        <f>SUM(D31:D32)</f>
        <v>-3625</v>
      </c>
      <c r="E33" s="39">
        <f>SUM(E31:E32)</f>
        <v>2287.5</v>
      </c>
      <c r="F33" s="39">
        <f>SUM(F31:F32)</f>
        <v>3668.75</v>
      </c>
      <c r="G33" s="39">
        <f>SUM(G31:G32)</f>
        <v>3193.75</v>
      </c>
      <c r="H33" s="39">
        <f>SUM(H31:H32)</f>
        <v>0</v>
      </c>
      <c r="I33" s="3"/>
      <c r="J33" s="3"/>
    </row>
    <row r="34">
      <c r="A34" s="43" t="s">
        <v>46</v>
      </c>
      <c r="B34" s="42"/>
      <c r="C34" s="44">
        <f>C26+C33</f>
        <v>0</v>
      </c>
      <c r="D34" s="44">
        <f>D26+D33</f>
        <v>0</v>
      </c>
      <c r="E34" s="44">
        <f>E26+E33</f>
        <v>19312.5</v>
      </c>
      <c r="F34" s="44">
        <f>F26+F33</f>
        <v>15968.75</v>
      </c>
      <c r="G34" s="44">
        <f>G26+G33</f>
        <v>24118.75</v>
      </c>
      <c r="H34" s="44">
        <f>H26+H33</f>
        <v>0</v>
      </c>
      <c r="I34" s="3"/>
      <c r="J34" s="3"/>
    </row>
    <row r="35" ht="28.5">
      <c r="A35" s="20" t="s">
        <v>47</v>
      </c>
      <c r="B35" s="34"/>
      <c r="C35" s="34"/>
      <c r="D35" s="34"/>
      <c r="E35" s="45" t="s">
        <v>48</v>
      </c>
      <c r="F35" s="45" t="s">
        <v>49</v>
      </c>
      <c r="G35" s="45" t="s">
        <v>50</v>
      </c>
      <c r="H35" s="34"/>
      <c r="I35" s="3"/>
      <c r="J35" s="3"/>
    </row>
    <row r="36">
      <c r="A36" s="20" t="s">
        <v>51</v>
      </c>
      <c r="B36" s="34"/>
      <c r="C36" s="34"/>
      <c r="D36" s="34"/>
      <c r="E36" s="17">
        <f>'Cout d''achat'!B11/100</f>
        <v>1050.2</v>
      </c>
      <c r="F36" s="17">
        <f>Données!I4</f>
        <v>152</v>
      </c>
      <c r="G36" s="17" t="e">
        <f>('Cout de revient'!D12+'Cout de revient'!G12)/10</f>
        <v>#NUM!</v>
      </c>
      <c r="H36" s="34"/>
      <c r="I36" s="3"/>
      <c r="J36" s="3"/>
    </row>
    <row r="37">
      <c r="A37" s="20" t="s">
        <v>52</v>
      </c>
      <c r="B37" s="34"/>
      <c r="C37" s="34"/>
      <c r="D37" s="34"/>
      <c r="E37" s="36">
        <f>E34/E36</f>
        <v>18.38935440868406</v>
      </c>
      <c r="F37" s="36">
        <f>F34/F36</f>
        <v>105.05756578947368</v>
      </c>
      <c r="G37" s="36" t="e">
        <f>G34/G36</f>
        <v>#NUM!</v>
      </c>
      <c r="H37" s="34"/>
      <c r="I37" s="3"/>
      <c r="J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>
      <c r="A46" s="3"/>
      <c r="B46" s="4" t="s">
        <v>53</v>
      </c>
      <c r="C46" s="5"/>
      <c r="D46" s="4" t="s">
        <v>54</v>
      </c>
      <c r="E46" s="5"/>
      <c r="F46" s="5"/>
      <c r="G46" s="46"/>
      <c r="H46" s="3"/>
      <c r="I46" s="3"/>
      <c r="J46" s="3"/>
    </row>
    <row r="47">
      <c r="A47" s="3"/>
      <c r="B47" s="12" t="s">
        <v>19</v>
      </c>
      <c r="C47" s="13" t="s">
        <v>34</v>
      </c>
      <c r="D47" s="13" t="s">
        <v>35</v>
      </c>
      <c r="E47" s="13" t="s">
        <v>36</v>
      </c>
      <c r="F47" s="13" t="s">
        <v>37</v>
      </c>
      <c r="G47" s="13" t="s">
        <v>22</v>
      </c>
      <c r="H47" s="3"/>
      <c r="I47" s="3"/>
      <c r="J47" s="3"/>
    </row>
    <row r="48">
      <c r="A48" s="20" t="s">
        <v>55</v>
      </c>
      <c r="B48" s="29"/>
      <c r="C48" s="29"/>
      <c r="D48" s="29"/>
      <c r="E48" s="29"/>
      <c r="F48" s="29"/>
      <c r="G48" s="29"/>
      <c r="H48" s="3"/>
      <c r="I48" s="3"/>
      <c r="J48" s="3"/>
    </row>
    <row r="49">
      <c r="A49" s="1" t="s">
        <v>19</v>
      </c>
      <c r="B49" s="29"/>
      <c r="C49" s="29"/>
      <c r="D49" s="29"/>
      <c r="E49" s="29"/>
      <c r="F49" s="29"/>
      <c r="G49" s="29"/>
      <c r="H49" s="3"/>
      <c r="I49" s="3"/>
      <c r="J49" s="3"/>
    </row>
    <row r="50">
      <c r="A50" s="1" t="s">
        <v>34</v>
      </c>
      <c r="B50" s="29"/>
      <c r="C50" s="29"/>
      <c r="D50" s="29"/>
      <c r="E50" s="29"/>
      <c r="F50" s="29"/>
      <c r="G50" s="29"/>
      <c r="H50" s="3"/>
      <c r="I50" s="3"/>
      <c r="J50" s="3"/>
    </row>
    <row r="51">
      <c r="A51" s="1" t="s">
        <v>56</v>
      </c>
      <c r="B51" s="29"/>
      <c r="C51" s="29"/>
      <c r="D51" s="29"/>
      <c r="E51" s="29"/>
      <c r="F51" s="29"/>
      <c r="G51" s="29"/>
      <c r="H51" s="3"/>
      <c r="I51" s="3"/>
      <c r="J51" s="3"/>
    </row>
    <row r="52" ht="28.5">
      <c r="A52" s="47" t="s">
        <v>57</v>
      </c>
      <c r="B52" s="48"/>
      <c r="C52" s="48"/>
      <c r="D52" s="49" t="s">
        <v>48</v>
      </c>
      <c r="E52" s="49" t="s">
        <v>49</v>
      </c>
      <c r="F52" s="49" t="s">
        <v>50</v>
      </c>
      <c r="G52" s="29"/>
      <c r="H52" s="3"/>
      <c r="I52" s="3"/>
      <c r="J52" s="3"/>
    </row>
    <row r="53">
      <c r="A53" s="47" t="s">
        <v>51</v>
      </c>
      <c r="B53" s="48"/>
      <c r="C53" s="48"/>
      <c r="D53" s="29"/>
      <c r="E53" s="29"/>
      <c r="F53" s="29"/>
      <c r="G53" s="29"/>
      <c r="H53" s="3"/>
      <c r="I53" s="3"/>
      <c r="J53" s="3"/>
    </row>
    <row r="54">
      <c r="A54" s="47" t="s">
        <v>58</v>
      </c>
      <c r="B54" s="48"/>
      <c r="C54" s="48"/>
      <c r="D54" s="29"/>
      <c r="E54" s="29"/>
      <c r="F54" s="29"/>
      <c r="G54" s="29"/>
      <c r="H54" s="3"/>
      <c r="I54" s="3"/>
      <c r="J54" s="3"/>
    </row>
    <row r="58" ht="14.25">
      <c r="A58" s="3"/>
      <c r="B58" s="50"/>
      <c r="C58" s="4" t="s">
        <v>32</v>
      </c>
      <c r="D58" s="33"/>
      <c r="E58" s="4" t="s">
        <v>33</v>
      </c>
      <c r="F58" s="5"/>
      <c r="G58" s="5"/>
      <c r="H58" s="51"/>
      <c r="I58" s="3"/>
      <c r="J58" s="3"/>
    </row>
    <row r="59" ht="14.25">
      <c r="A59" s="51"/>
      <c r="B59" s="52"/>
      <c r="C59" s="12" t="s">
        <v>19</v>
      </c>
      <c r="D59" s="12" t="s">
        <v>34</v>
      </c>
      <c r="E59" s="53" t="s">
        <v>35</v>
      </c>
      <c r="F59" s="54" t="s">
        <v>36</v>
      </c>
      <c r="G59" s="55" t="s">
        <v>37</v>
      </c>
      <c r="H59" s="17" t="s">
        <v>22</v>
      </c>
      <c r="I59" s="18"/>
      <c r="J59" s="19" t="s">
        <v>38</v>
      </c>
    </row>
    <row r="60" ht="14.25">
      <c r="A60" s="20" t="s">
        <v>59</v>
      </c>
      <c r="B60" s="56">
        <v>500</v>
      </c>
      <c r="C60" s="25">
        <v>0.25</v>
      </c>
      <c r="D60" s="25">
        <v>0.050000000000000003</v>
      </c>
      <c r="E60" s="25">
        <v>0.050000000000000003</v>
      </c>
      <c r="F60" s="25">
        <v>0.59999999999999998</v>
      </c>
      <c r="G60" s="25">
        <v>0.050000000000000003</v>
      </c>
      <c r="H60" s="25">
        <f>SUM(C60:G60)</f>
        <v>1</v>
      </c>
      <c r="I60" s="26"/>
      <c r="J60" s="6" t="s">
        <v>39</v>
      </c>
    </row>
    <row r="61" ht="14.25">
      <c r="A61" s="20"/>
      <c r="B61" s="46"/>
      <c r="C61" s="37"/>
      <c r="D61" s="37"/>
      <c r="E61" s="37"/>
      <c r="F61" s="37"/>
      <c r="G61" s="37"/>
      <c r="H61" s="25"/>
      <c r="I61" s="30"/>
      <c r="J61" s="6" t="s">
        <v>40</v>
      </c>
    </row>
    <row r="62" ht="14.25">
      <c r="A62" s="20"/>
      <c r="B62" s="56"/>
      <c r="C62" s="25"/>
      <c r="D62" s="37"/>
      <c r="E62" s="37"/>
      <c r="F62" s="37"/>
      <c r="G62" s="37"/>
      <c r="H62" s="25"/>
      <c r="I62" s="3"/>
      <c r="J62" s="3"/>
    </row>
    <row r="63" ht="14.25">
      <c r="A63" s="20"/>
      <c r="B63" s="56"/>
      <c r="C63" s="37"/>
      <c r="D63" s="37"/>
      <c r="E63" s="37"/>
      <c r="F63" s="25"/>
      <c r="G63" s="37"/>
      <c r="H63" s="25"/>
      <c r="I63" s="3"/>
      <c r="J63" s="3"/>
    </row>
    <row r="64" ht="14.25">
      <c r="A64" s="20"/>
      <c r="B64" s="56"/>
      <c r="C64" s="37"/>
      <c r="D64" s="37"/>
      <c r="E64" s="25"/>
      <c r="F64" s="37"/>
      <c r="G64" s="37"/>
      <c r="H64" s="25"/>
      <c r="I64" s="3"/>
      <c r="J64" s="3"/>
    </row>
    <row r="65" ht="14.25">
      <c r="A65" s="20"/>
      <c r="B65" s="56"/>
      <c r="C65" s="37"/>
      <c r="D65" s="25"/>
      <c r="E65" s="37"/>
      <c r="F65" s="37"/>
      <c r="G65" s="25"/>
      <c r="H65" s="25"/>
      <c r="I65" s="3"/>
      <c r="J65" s="3"/>
    </row>
    <row r="66" ht="14.25">
      <c r="A66" s="20"/>
      <c r="B66" s="56"/>
      <c r="C66" s="25"/>
      <c r="D66" s="37"/>
      <c r="E66" s="37"/>
      <c r="F66" s="37"/>
      <c r="G66" s="37"/>
      <c r="H66" s="25"/>
      <c r="I66" s="3"/>
      <c r="J66" s="3"/>
    </row>
    <row r="67" ht="14.25">
      <c r="A67" s="20"/>
      <c r="B67" s="56"/>
      <c r="C67" s="37"/>
      <c r="D67" s="37"/>
      <c r="E67" s="37"/>
      <c r="F67" s="37"/>
      <c r="G67" s="25"/>
      <c r="H67" s="25"/>
      <c r="I67" s="3"/>
      <c r="J67" s="3"/>
    </row>
    <row r="68" ht="14.25">
      <c r="A68" s="20"/>
      <c r="B68" s="56"/>
      <c r="C68" s="37"/>
      <c r="D68" s="37"/>
      <c r="E68" s="37"/>
      <c r="F68" s="37"/>
      <c r="G68" s="25"/>
      <c r="H68" s="25"/>
      <c r="I68" s="3"/>
      <c r="J68" s="3"/>
    </row>
    <row r="69" ht="14.25">
      <c r="A69" s="57"/>
      <c r="B69" s="35">
        <f>SUM(B60:B68)</f>
        <v>500</v>
      </c>
      <c r="C69" s="3"/>
      <c r="D69" s="3"/>
      <c r="E69" s="3"/>
      <c r="F69" s="3"/>
      <c r="G69" s="3"/>
      <c r="H69" s="3"/>
      <c r="I69" s="3"/>
      <c r="J69" s="3"/>
    </row>
    <row r="71" ht="14.25">
      <c r="A71" s="3"/>
      <c r="B71" s="50"/>
      <c r="C71" s="4" t="s">
        <v>32</v>
      </c>
      <c r="D71" s="33"/>
      <c r="E71" s="4" t="s">
        <v>33</v>
      </c>
      <c r="F71" s="5"/>
      <c r="G71" s="33"/>
      <c r="H71" s="34"/>
    </row>
    <row r="72" ht="14.25">
      <c r="A72" s="51"/>
      <c r="B72" s="52"/>
      <c r="C72" s="17" t="s">
        <v>19</v>
      </c>
      <c r="D72" s="17" t="s">
        <v>34</v>
      </c>
      <c r="E72" s="17" t="s">
        <v>35</v>
      </c>
      <c r="F72" s="17" t="s">
        <v>36</v>
      </c>
      <c r="G72" s="17" t="s">
        <v>37</v>
      </c>
      <c r="H72" s="17" t="s">
        <v>22</v>
      </c>
    </row>
    <row r="73" ht="14.25">
      <c r="A73" s="20" t="s">
        <v>60</v>
      </c>
      <c r="B73" s="35">
        <f>Données!$B$1</f>
        <v>500</v>
      </c>
      <c r="C73" s="36" t="e">
        <f t="shared" ref="C73:C74" si="18">$B73*C59</f>
        <v>#VALUE!</v>
      </c>
      <c r="D73" s="36" t="e">
        <f t="shared" ref="D73:D74" si="19">$B73*D59</f>
        <v>#VALUE!</v>
      </c>
      <c r="E73" s="36" t="e">
        <f t="shared" ref="E73:E74" si="20">$B73*E59</f>
        <v>#VALUE!</v>
      </c>
      <c r="F73" s="36" t="e">
        <f t="shared" ref="F73:F74" si="21">$B73*F59</f>
        <v>#VALUE!</v>
      </c>
      <c r="G73" s="36" t="e">
        <f t="shared" ref="G73:G74" si="22">$B73*G59</f>
        <v>#VALUE!</v>
      </c>
      <c r="H73" s="36" t="e">
        <f t="shared" ref="H73:H87" si="23">SUM(C73:G73)</f>
        <v>#VALUE!</v>
      </c>
    </row>
    <row r="74" ht="14.25">
      <c r="A74" s="20" t="s">
        <v>18</v>
      </c>
      <c r="B74" s="37"/>
      <c r="C74" s="36">
        <f t="shared" si="18"/>
        <v>0</v>
      </c>
      <c r="D74" s="36">
        <f t="shared" si="19"/>
        <v>0</v>
      </c>
      <c r="E74" s="36">
        <f t="shared" si="20"/>
        <v>0</v>
      </c>
      <c r="F74" s="36">
        <f t="shared" si="21"/>
        <v>0</v>
      </c>
      <c r="G74" s="36">
        <f t="shared" si="22"/>
        <v>0</v>
      </c>
      <c r="H74" s="36">
        <f t="shared" si="23"/>
        <v>0</v>
      </c>
    </row>
    <row r="75" ht="14.25">
      <c r="A75" s="20"/>
      <c r="B75" s="35"/>
      <c r="C75" s="36"/>
      <c r="D75" s="36"/>
      <c r="E75" s="36"/>
      <c r="F75" s="36"/>
      <c r="G75" s="36"/>
      <c r="H75" s="36"/>
    </row>
    <row r="76" ht="14.25">
      <c r="A76" s="20"/>
      <c r="B76" s="35"/>
      <c r="C76" s="36"/>
      <c r="D76" s="36"/>
      <c r="E76" s="36"/>
      <c r="F76" s="36"/>
      <c r="G76" s="36"/>
      <c r="H76" s="36"/>
    </row>
    <row r="77" ht="14.25">
      <c r="A77" s="20"/>
      <c r="B77" s="35"/>
      <c r="C77" s="36"/>
      <c r="D77" s="36"/>
      <c r="E77" s="36"/>
      <c r="F77" s="36"/>
      <c r="G77" s="36"/>
      <c r="H77" s="36"/>
    </row>
    <row r="78" ht="14.25">
      <c r="A78" s="20"/>
      <c r="B78" s="35"/>
      <c r="C78" s="36"/>
      <c r="D78" s="36"/>
      <c r="E78" s="36"/>
      <c r="F78" s="36"/>
      <c r="G78" s="36"/>
      <c r="H78" s="36"/>
    </row>
    <row r="79" ht="14.25">
      <c r="A79" s="20"/>
      <c r="B79" s="35"/>
      <c r="C79" s="36"/>
      <c r="D79" s="36"/>
      <c r="E79" s="36"/>
      <c r="F79" s="36"/>
      <c r="G79" s="36"/>
      <c r="H79" s="36"/>
    </row>
    <row r="80" ht="14.25">
      <c r="A80" s="20"/>
      <c r="B80" s="35"/>
      <c r="C80" s="36"/>
      <c r="D80" s="36"/>
      <c r="E80" s="36"/>
      <c r="F80" s="36"/>
      <c r="G80" s="36"/>
      <c r="H80" s="36"/>
    </row>
    <row r="81" ht="14.25">
      <c r="A81" s="20"/>
      <c r="B81" s="35"/>
      <c r="C81" s="36"/>
      <c r="D81" s="36"/>
      <c r="E81" s="36"/>
      <c r="F81" s="36"/>
      <c r="G81" s="36"/>
      <c r="H81" s="36"/>
    </row>
    <row r="82" ht="14.25">
      <c r="A82" s="20" t="s">
        <v>22</v>
      </c>
      <c r="B82" s="35">
        <f>SUM(B73:B81)</f>
        <v>500</v>
      </c>
      <c r="C82" s="36" t="e">
        <f>SUM(C73:C81)</f>
        <v>#VALUE!</v>
      </c>
      <c r="D82" s="36" t="e">
        <f>SUM(D73:D81)</f>
        <v>#VALUE!</v>
      </c>
      <c r="E82" s="36" t="e">
        <f>SUM(E73:E81)</f>
        <v>#VALUE!</v>
      </c>
      <c r="F82" s="36" t="e">
        <f>SUM(F73:F81)</f>
        <v>#VALUE!</v>
      </c>
      <c r="G82" s="36" t="e">
        <f>SUM(G73:G81)</f>
        <v>#VALUE!</v>
      </c>
      <c r="H82" s="34"/>
    </row>
    <row r="83" ht="14.25">
      <c r="A83" s="43" t="s">
        <v>45</v>
      </c>
      <c r="B83" s="58"/>
      <c r="C83" s="58"/>
      <c r="D83" s="58"/>
      <c r="E83" s="58"/>
      <c r="F83" s="58"/>
      <c r="G83" s="58"/>
      <c r="H83" s="58"/>
    </row>
    <row r="84" ht="14.25">
      <c r="A84" s="17" t="s">
        <v>19</v>
      </c>
      <c r="B84" s="39" t="e">
        <f>C82</f>
        <v>#VALUE!</v>
      </c>
      <c r="C84" s="40"/>
      <c r="D84" s="41"/>
      <c r="E84" s="40"/>
      <c r="F84" s="40"/>
      <c r="G84" s="40"/>
      <c r="H84" s="36">
        <f t="shared" si="23"/>
        <v>0</v>
      </c>
    </row>
    <row r="85" ht="14.25">
      <c r="A85" s="17" t="s">
        <v>34</v>
      </c>
      <c r="B85" s="39" t="e">
        <f>D82</f>
        <v>#VALUE!</v>
      </c>
      <c r="C85" s="41"/>
      <c r="D85" s="40"/>
      <c r="E85" s="40"/>
      <c r="F85" s="40"/>
      <c r="G85" s="40"/>
      <c r="H85" s="36">
        <f t="shared" si="23"/>
        <v>0</v>
      </c>
    </row>
    <row r="86" ht="14.25">
      <c r="A86" s="34"/>
      <c r="B86" s="42"/>
      <c r="C86" s="42"/>
      <c r="D86" s="42"/>
      <c r="E86" s="42"/>
      <c r="F86" s="42"/>
      <c r="G86" s="42"/>
      <c r="H86" s="42"/>
    </row>
    <row r="87" ht="14.25">
      <c r="A87" s="17" t="s">
        <v>19</v>
      </c>
      <c r="B87" s="39" t="e">
        <f t="shared" ref="B87:B88" si="24">B84</f>
        <v>#VALUE!</v>
      </c>
      <c r="C87" s="39" t="e">
        <f t="shared" ref="C87:C88" si="25">$B87*C84</f>
        <v>#VALUE!</v>
      </c>
      <c r="D87" s="39" t="e">
        <f t="shared" ref="D87:D88" si="26">$B87*D84</f>
        <v>#VALUE!</v>
      </c>
      <c r="E87" s="39" t="e">
        <f t="shared" ref="E87:E88" si="27">$B87*E84</f>
        <v>#VALUE!</v>
      </c>
      <c r="F87" s="39" t="e">
        <f t="shared" ref="F87:F88" si="28">$B87*F84</f>
        <v>#VALUE!</v>
      </c>
      <c r="G87" s="39" t="e">
        <f t="shared" ref="G87:G88" si="29">$B87*G84</f>
        <v>#VALUE!</v>
      </c>
      <c r="H87" s="36" t="e">
        <f t="shared" si="23"/>
        <v>#VALUE!</v>
      </c>
    </row>
    <row r="88" ht="14.25">
      <c r="A88" s="17" t="s">
        <v>34</v>
      </c>
      <c r="B88" s="39" t="e">
        <f t="shared" si="24"/>
        <v>#VALUE!</v>
      </c>
      <c r="C88" s="39" t="e">
        <f t="shared" si="25"/>
        <v>#VALUE!</v>
      </c>
      <c r="D88" s="39" t="e">
        <f t="shared" si="26"/>
        <v>#VALUE!</v>
      </c>
      <c r="E88" s="39" t="e">
        <f t="shared" si="27"/>
        <v>#VALUE!</v>
      </c>
      <c r="F88" s="39" t="e">
        <f t="shared" si="28"/>
        <v>#VALUE!</v>
      </c>
      <c r="G88" s="39" t="e">
        <f t="shared" si="29"/>
        <v>#VALUE!</v>
      </c>
      <c r="H88" s="36">
        <v>0</v>
      </c>
    </row>
    <row r="89" ht="14.25">
      <c r="A89" s="17" t="s">
        <v>22</v>
      </c>
      <c r="B89" s="42"/>
      <c r="C89" s="39" t="e">
        <f>SUM(C87:C88)</f>
        <v>#VALUE!</v>
      </c>
      <c r="D89" s="39" t="e">
        <f>SUM(D87:D88)</f>
        <v>#VALUE!</v>
      </c>
      <c r="E89" s="39" t="e">
        <f>SUM(E87:E88)</f>
        <v>#VALUE!</v>
      </c>
      <c r="F89" s="39" t="e">
        <f>SUM(F87:F88)</f>
        <v>#VALUE!</v>
      </c>
      <c r="G89" s="39" t="e">
        <f>SUM(G87:G88)</f>
        <v>#VALUE!</v>
      </c>
      <c r="H89" s="39" t="e">
        <f>SUM(H87:H88)</f>
        <v>#VALUE!</v>
      </c>
    </row>
    <row r="90" ht="14.25">
      <c r="A90" s="43" t="s">
        <v>46</v>
      </c>
      <c r="B90" s="42"/>
      <c r="C90" s="44" t="e">
        <f>C82+C89</f>
        <v>#VALUE!</v>
      </c>
      <c r="D90" s="44" t="e">
        <f>D82+D89</f>
        <v>#VALUE!</v>
      </c>
      <c r="E90" s="44" t="e">
        <f>E82+E89</f>
        <v>#VALUE!</v>
      </c>
      <c r="F90" s="44" t="e">
        <f>F82+F89</f>
        <v>#VALUE!</v>
      </c>
      <c r="G90" s="44" t="e">
        <f>G82+G89</f>
        <v>#VALUE!</v>
      </c>
      <c r="H90" s="44" t="e">
        <f>H82+H89</f>
        <v>#VALUE!</v>
      </c>
    </row>
  </sheetData>
  <mergeCells count="10">
    <mergeCell ref="C1:D1"/>
    <mergeCell ref="E1:G1"/>
    <mergeCell ref="C15:D15"/>
    <mergeCell ref="E15:G15"/>
    <mergeCell ref="B46:C46"/>
    <mergeCell ref="D46:F46"/>
    <mergeCell ref="C58:D58"/>
    <mergeCell ref="E58:G58"/>
    <mergeCell ref="C71:D71"/>
    <mergeCell ref="E71:G7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0.25390625"/>
    <col bestFit="1" min="2" max="2" width="7.11328125"/>
    <col bestFit="1" min="3" max="3" width="6.54296875"/>
    <col bestFit="1" min="4" max="4" width="12.6015625"/>
    <col bestFit="1" min="5" max="5" width="10.421875"/>
    <col bestFit="1" min="6" max="6" width="11.453125"/>
    <col bestFit="1" min="7" max="7" width="8.7109375"/>
    <col bestFit="1" min="9" max="9" width="71.68359375"/>
  </cols>
  <sheetData>
    <row r="1" ht="42.75">
      <c r="A1" s="34"/>
      <c r="B1" s="59" t="s">
        <v>61</v>
      </c>
      <c r="C1" s="59" t="s">
        <v>62</v>
      </c>
      <c r="D1" s="59" t="s">
        <v>63</v>
      </c>
      <c r="E1" s="59" t="s">
        <v>64</v>
      </c>
      <c r="F1" s="59" t="s">
        <v>65</v>
      </c>
      <c r="G1" s="59" t="s">
        <v>66</v>
      </c>
      <c r="H1" s="3"/>
      <c r="I1" s="3"/>
    </row>
    <row r="2" ht="14.25">
      <c r="A2" s="20" t="s">
        <v>3</v>
      </c>
      <c r="B2" s="60">
        <v>20000</v>
      </c>
      <c r="C2" s="61">
        <f>2*Données!B22</f>
        <v>6400</v>
      </c>
      <c r="D2" s="61">
        <f t="shared" ref="D2:D9" si="30">B2/C2</f>
        <v>3.125</v>
      </c>
      <c r="E2" s="62">
        <f>B2/100*'Charges indirectes'!$E$37</f>
        <v>3677.870881736812</v>
      </c>
      <c r="F2" s="63">
        <f t="shared" ref="F2:F9" si="31">B2+E2</f>
        <v>23677.870881736813</v>
      </c>
      <c r="G2" s="63">
        <f t="shared" ref="G2:G9" si="32">F2/C2</f>
        <v>3.6996673252713772</v>
      </c>
      <c r="H2" s="3"/>
      <c r="I2" s="3"/>
    </row>
    <row r="3" ht="14.25">
      <c r="A3" s="20" t="s">
        <v>6</v>
      </c>
      <c r="B3" s="60">
        <v>30000</v>
      </c>
      <c r="C3" s="61">
        <f>Données!$B$22</f>
        <v>3200</v>
      </c>
      <c r="D3" s="61">
        <f t="shared" si="30"/>
        <v>9.375</v>
      </c>
      <c r="E3" s="62">
        <f>B3/100*'Charges indirectes'!$E$37</f>
        <v>5516.8063226052182</v>
      </c>
      <c r="F3" s="63">
        <f t="shared" si="31"/>
        <v>35516.806322605218</v>
      </c>
      <c r="G3" s="63">
        <f t="shared" si="32"/>
        <v>11.099001975814131</v>
      </c>
      <c r="H3" s="3"/>
      <c r="I3" s="3"/>
    </row>
    <row r="4" ht="14.25">
      <c r="A4" s="20" t="s">
        <v>9</v>
      </c>
      <c r="B4" s="60">
        <v>30000</v>
      </c>
      <c r="C4" s="61">
        <f>Données!$B$22</f>
        <v>3200</v>
      </c>
      <c r="D4" s="61">
        <f t="shared" si="30"/>
        <v>9.375</v>
      </c>
      <c r="E4" s="62">
        <f>B4/100*'Charges indirectes'!$E$37</f>
        <v>5516.8063226052182</v>
      </c>
      <c r="F4" s="63">
        <f t="shared" si="31"/>
        <v>35516.806322605218</v>
      </c>
      <c r="G4" s="63">
        <f t="shared" si="32"/>
        <v>11.099001975814131</v>
      </c>
      <c r="H4" s="3"/>
      <c r="I4" s="3"/>
    </row>
    <row r="5" ht="14.25">
      <c r="A5" s="20" t="s">
        <v>11</v>
      </c>
      <c r="B5" s="60">
        <v>10000</v>
      </c>
      <c r="C5" s="61">
        <f>Données!$B$22</f>
        <v>3200</v>
      </c>
      <c r="D5" s="61">
        <f t="shared" si="30"/>
        <v>3.125</v>
      </c>
      <c r="E5" s="62">
        <f>B5/100*'Charges indirectes'!$E$37</f>
        <v>1838.935440868406</v>
      </c>
      <c r="F5" s="63">
        <f t="shared" si="31"/>
        <v>11838.935440868407</v>
      </c>
      <c r="G5" s="63">
        <f t="shared" si="32"/>
        <v>3.6996673252713772</v>
      </c>
      <c r="H5" s="3"/>
      <c r="I5" s="6" t="s">
        <v>65</v>
      </c>
    </row>
    <row r="6" ht="14.25">
      <c r="A6" s="20" t="s">
        <v>67</v>
      </c>
      <c r="B6" s="60">
        <v>1500</v>
      </c>
      <c r="C6" s="61">
        <f>Données!B29</f>
        <v>1350</v>
      </c>
      <c r="D6" s="61">
        <f t="shared" si="30"/>
        <v>1.1111111111111112</v>
      </c>
      <c r="E6" s="62">
        <f>B6/100*'Charges indirectes'!$E$37</f>
        <v>275.84031613026087</v>
      </c>
      <c r="F6" s="63">
        <f t="shared" si="31"/>
        <v>1775.8403161302608</v>
      </c>
      <c r="G6" s="63">
        <f t="shared" si="32"/>
        <v>1.3154372712076006</v>
      </c>
      <c r="H6" s="3"/>
      <c r="I6" s="6" t="s">
        <v>68</v>
      </c>
    </row>
    <row r="7" ht="14.25">
      <c r="A7" s="20" t="s">
        <v>69</v>
      </c>
      <c r="B7" s="60">
        <v>2000</v>
      </c>
      <c r="C7" s="61">
        <f>Données!B30</f>
        <v>1850</v>
      </c>
      <c r="D7" s="61">
        <f t="shared" si="30"/>
        <v>1.0810810810810811</v>
      </c>
      <c r="E7" s="62">
        <f>B7/100*'Charges indirectes'!$E$37</f>
        <v>367.78708817368118</v>
      </c>
      <c r="F7" s="63">
        <f t="shared" si="31"/>
        <v>2367.7870881736812</v>
      </c>
      <c r="G7" s="63">
        <f t="shared" si="32"/>
        <v>1.2798849125263141</v>
      </c>
      <c r="H7" s="3"/>
      <c r="I7" s="3"/>
    </row>
    <row r="8" ht="14.25">
      <c r="A8" s="20" t="s">
        <v>70</v>
      </c>
      <c r="B8" s="60">
        <v>2035</v>
      </c>
      <c r="C8" s="61">
        <f>Données!B20</f>
        <v>1850</v>
      </c>
      <c r="D8" s="61">
        <f t="shared" si="30"/>
        <v>1.1000000000000001</v>
      </c>
      <c r="E8" s="62">
        <f>B8/100*'Charges indirectes'!$E$37</f>
        <v>374.22336221672066</v>
      </c>
      <c r="F8" s="63">
        <f t="shared" si="31"/>
        <v>2409.2233622167205</v>
      </c>
      <c r="G8" s="63">
        <f t="shared" si="32"/>
        <v>1.3022828984955246</v>
      </c>
      <c r="H8" s="3"/>
      <c r="I8" s="3"/>
    </row>
    <row r="9" ht="14.25">
      <c r="A9" s="20" t="s">
        <v>71</v>
      </c>
      <c r="B9" s="60">
        <v>1485</v>
      </c>
      <c r="C9" s="61">
        <f>Données!B29</f>
        <v>1350</v>
      </c>
      <c r="D9" s="61">
        <f t="shared" si="30"/>
        <v>1.1000000000000001</v>
      </c>
      <c r="E9" s="62">
        <f>B9/100*'Charges indirectes'!$E$37</f>
        <v>273.08191296895831</v>
      </c>
      <c r="F9" s="63">
        <f t="shared" si="31"/>
        <v>1758.0819129689582</v>
      </c>
      <c r="G9" s="63">
        <f t="shared" si="32"/>
        <v>1.3022828984955246</v>
      </c>
      <c r="H9" s="3"/>
      <c r="I9" s="3"/>
    </row>
    <row r="10" ht="14.25">
      <c r="A10" s="20" t="s">
        <v>72</v>
      </c>
      <c r="B10" s="60">
        <v>8000</v>
      </c>
      <c r="C10" s="61">
        <f>Données!B33</f>
        <v>3200</v>
      </c>
      <c r="D10" s="61">
        <f>B10/C10</f>
        <v>2.5</v>
      </c>
      <c r="E10" s="62">
        <f>B10/100*'Charges indirectes'!$E$37</f>
        <v>1471.1483526947247</v>
      </c>
      <c r="F10" s="63">
        <f>B10+E10</f>
        <v>9471.148352694725</v>
      </c>
      <c r="G10" s="63">
        <f>F10/C10</f>
        <v>2.9597338602171015</v>
      </c>
      <c r="H10" s="3"/>
      <c r="I10" s="3"/>
    </row>
    <row r="11" ht="14.25">
      <c r="A11" s="20" t="s">
        <v>22</v>
      </c>
      <c r="B11" s="60">
        <f>SUM(B2:B10)</f>
        <v>105020</v>
      </c>
      <c r="C11" s="34"/>
      <c r="D11" s="34"/>
      <c r="E11" s="62">
        <f>SUM(E2:E10)</f>
        <v>19312.5</v>
      </c>
      <c r="F11" s="63">
        <f>SUM(F2:F10)</f>
        <v>124332.5</v>
      </c>
      <c r="G11" s="34"/>
      <c r="H11" s="3"/>
      <c r="I11" s="3"/>
    </row>
    <row r="14" ht="42.75">
      <c r="A14" s="34"/>
      <c r="B14" s="59" t="s">
        <v>61</v>
      </c>
      <c r="C14" s="59" t="s">
        <v>62</v>
      </c>
      <c r="D14" s="59" t="s">
        <v>63</v>
      </c>
      <c r="E14" s="59" t="s">
        <v>64</v>
      </c>
      <c r="F14" s="59" t="s">
        <v>65</v>
      </c>
      <c r="G14" s="59" t="s">
        <v>66</v>
      </c>
    </row>
    <row r="15" ht="14.25">
      <c r="A15" s="20" t="s">
        <v>73</v>
      </c>
      <c r="B15" s="60"/>
      <c r="C15" s="61"/>
      <c r="D15" s="61"/>
      <c r="E15" s="62"/>
      <c r="F15" s="63"/>
      <c r="G15" s="63"/>
    </row>
    <row r="16" ht="14.25">
      <c r="A16" s="20"/>
      <c r="B16" s="60"/>
      <c r="C16" s="61"/>
      <c r="D16" s="61"/>
      <c r="E16" s="62"/>
      <c r="F16" s="63"/>
      <c r="G16" s="63"/>
    </row>
    <row r="17" ht="14.25">
      <c r="A17" s="20" t="s">
        <v>22</v>
      </c>
      <c r="B17" s="60">
        <f>SUM(B15:B16)</f>
        <v>0</v>
      </c>
      <c r="C17" s="34"/>
      <c r="D17" s="34"/>
      <c r="E17" s="62">
        <f>SUM(E15:E16)</f>
        <v>0</v>
      </c>
      <c r="F17" s="63">
        <f>SUM(F15:F16)</f>
        <v>0</v>
      </c>
      <c r="G17" s="3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0.421875"/>
    <col bestFit="1" min="3" max="4" width="11.28125"/>
    <col bestFit="1" min="7" max="7" width="111.00390625"/>
  </cols>
  <sheetData>
    <row r="1" ht="15">
      <c r="A1" s="64" t="s">
        <v>3</v>
      </c>
      <c r="B1" s="65"/>
      <c r="C1" s="65"/>
      <c r="D1" s="65"/>
    </row>
    <row r="2" ht="15">
      <c r="A2" s="37"/>
      <c r="B2" s="33" t="s">
        <v>74</v>
      </c>
      <c r="C2" s="17" t="s">
        <v>75</v>
      </c>
      <c r="D2" s="17" t="s">
        <v>76</v>
      </c>
    </row>
    <row r="3">
      <c r="A3" s="20" t="s">
        <v>77</v>
      </c>
      <c r="B3" s="66">
        <v>120</v>
      </c>
      <c r="C3" s="67">
        <v>3.5</v>
      </c>
      <c r="D3" s="67">
        <f>B3*C3</f>
        <v>420</v>
      </c>
      <c r="E3" s="3"/>
      <c r="F3" s="3"/>
      <c r="G3" s="3"/>
    </row>
    <row r="4">
      <c r="A4" s="1" t="s">
        <v>78</v>
      </c>
      <c r="B4" s="2">
        <f>'Cout d''achat'!C2</f>
        <v>6400</v>
      </c>
      <c r="C4" s="68">
        <f>'Cout d''achat'!G2</f>
        <v>3.6996673252713772</v>
      </c>
      <c r="D4" s="67">
        <f>B4*C4</f>
        <v>23677.870881736813</v>
      </c>
      <c r="E4" s="3"/>
      <c r="F4" s="3"/>
      <c r="G4" s="3"/>
    </row>
    <row r="5" ht="23.25">
      <c r="A5" s="1" t="s">
        <v>22</v>
      </c>
      <c r="B5" s="2">
        <f>B3+B4</f>
        <v>6520</v>
      </c>
      <c r="C5" s="69">
        <f>D5/B5</f>
        <v>3.6959924665240513</v>
      </c>
      <c r="D5" s="69">
        <f>D3+D4</f>
        <v>24097.870881736813</v>
      </c>
      <c r="E5" s="3"/>
      <c r="F5" s="3"/>
      <c r="G5" s="70" t="s">
        <v>79</v>
      </c>
    </row>
    <row r="6">
      <c r="A6" s="1" t="s">
        <v>80</v>
      </c>
      <c r="B6" s="2">
        <f>Données!D22*2</f>
        <v>6300</v>
      </c>
      <c r="C6" s="69">
        <f>C5</f>
        <v>3.6959924665240513</v>
      </c>
      <c r="D6" s="69">
        <f t="shared" ref="D6:D7" si="33">B6*C6</f>
        <v>23284.752539101522</v>
      </c>
      <c r="E6" s="3"/>
      <c r="F6" s="3"/>
      <c r="G6" s="3"/>
    </row>
    <row r="7">
      <c r="A7" s="1" t="s">
        <v>81</v>
      </c>
      <c r="B7" s="2">
        <f>B5-B6</f>
        <v>220</v>
      </c>
      <c r="C7" s="69">
        <f>C6</f>
        <v>3.6959924665240513</v>
      </c>
      <c r="D7" s="69">
        <f t="shared" si="33"/>
        <v>813.11834263529124</v>
      </c>
      <c r="E7" s="3"/>
      <c r="F7" s="3"/>
      <c r="G7" s="3"/>
    </row>
    <row r="8" ht="23.25">
      <c r="A8" s="34"/>
      <c r="B8" s="71"/>
      <c r="C8" s="71"/>
      <c r="D8" s="71"/>
      <c r="E8" s="3"/>
      <c r="F8" s="3"/>
      <c r="G8" s="70" t="s">
        <v>82</v>
      </c>
    </row>
    <row r="9" ht="23.25">
      <c r="A9" s="72" t="s">
        <v>83</v>
      </c>
      <c r="B9" s="73"/>
      <c r="C9" s="73"/>
      <c r="D9" s="74"/>
      <c r="E9" s="3"/>
      <c r="F9" s="3"/>
      <c r="G9" s="70" t="s">
        <v>84</v>
      </c>
    </row>
    <row r="10">
      <c r="A10" s="37"/>
      <c r="B10" s="33" t="s">
        <v>74</v>
      </c>
      <c r="C10" s="17" t="s">
        <v>75</v>
      </c>
      <c r="D10" s="17" t="s">
        <v>76</v>
      </c>
      <c r="E10" s="3"/>
      <c r="F10" s="3"/>
      <c r="G10" s="3"/>
    </row>
    <row r="11">
      <c r="A11" s="20" t="s">
        <v>77</v>
      </c>
      <c r="B11" s="66">
        <v>60</v>
      </c>
      <c r="C11" s="67">
        <v>12</v>
      </c>
      <c r="D11" s="67">
        <v>720</v>
      </c>
      <c r="E11" s="3"/>
      <c r="F11" s="3"/>
      <c r="G11" s="3"/>
    </row>
    <row r="12">
      <c r="A12" s="1" t="s">
        <v>78</v>
      </c>
      <c r="B12" s="2">
        <v>3200</v>
      </c>
      <c r="C12" s="68">
        <v>11.1</v>
      </c>
      <c r="D12" s="69">
        <f>C12*B12</f>
        <v>35520</v>
      </c>
      <c r="E12" s="3"/>
      <c r="F12" s="3"/>
      <c r="G12" s="3"/>
    </row>
    <row r="13">
      <c r="A13" s="1" t="s">
        <v>22</v>
      </c>
      <c r="B13" s="2">
        <v>3260</v>
      </c>
      <c r="C13" s="69">
        <v>11.115584760000001</v>
      </c>
      <c r="D13" s="69">
        <v>36236.806320000003</v>
      </c>
      <c r="E13" s="3"/>
      <c r="F13" s="3"/>
      <c r="G13" s="3"/>
    </row>
    <row r="14">
      <c r="A14" s="1" t="s">
        <v>80</v>
      </c>
      <c r="B14" s="2">
        <v>3150</v>
      </c>
      <c r="C14" s="69">
        <v>11.115584760000001</v>
      </c>
      <c r="D14" s="69">
        <v>35014.091999999997</v>
      </c>
      <c r="E14" s="3"/>
      <c r="F14" s="3"/>
      <c r="G14" s="3"/>
    </row>
    <row r="15">
      <c r="A15" s="1" t="s">
        <v>81</v>
      </c>
      <c r="B15" s="2">
        <v>110</v>
      </c>
      <c r="C15" s="69">
        <v>11.115584760000001</v>
      </c>
      <c r="D15" s="69">
        <v>1222.714324</v>
      </c>
      <c r="E15" s="3"/>
      <c r="F15" s="3"/>
      <c r="G15" s="3"/>
    </row>
    <row r="16">
      <c r="A16" s="34"/>
      <c r="B16" s="71"/>
      <c r="C16" s="71"/>
      <c r="D16" s="71"/>
      <c r="E16" s="3"/>
      <c r="F16" s="3"/>
      <c r="G16" s="3"/>
    </row>
    <row r="17">
      <c r="A17" s="72" t="s">
        <v>9</v>
      </c>
      <c r="B17" s="73"/>
      <c r="C17" s="73"/>
      <c r="D17" s="74"/>
      <c r="E17" s="3"/>
      <c r="F17" s="3"/>
      <c r="G17" s="3"/>
    </row>
    <row r="18">
      <c r="A18" s="37"/>
      <c r="B18" s="33" t="s">
        <v>74</v>
      </c>
      <c r="C18" s="17" t="s">
        <v>75</v>
      </c>
      <c r="D18" s="17" t="s">
        <v>76</v>
      </c>
      <c r="E18" s="3"/>
      <c r="F18" s="3"/>
      <c r="G18" s="3"/>
    </row>
    <row r="19">
      <c r="A19" s="20" t="s">
        <v>77</v>
      </c>
      <c r="B19" s="66">
        <v>60</v>
      </c>
      <c r="C19" s="67">
        <v>9</v>
      </c>
      <c r="D19" s="67">
        <v>540</v>
      </c>
      <c r="E19" s="3"/>
      <c r="F19" s="3"/>
      <c r="G19" s="3"/>
    </row>
    <row r="20">
      <c r="A20" s="1" t="s">
        <v>78</v>
      </c>
      <c r="B20" s="2">
        <v>3200</v>
      </c>
      <c r="C20" s="68">
        <v>11.1</v>
      </c>
      <c r="D20" s="69">
        <f t="shared" ref="D20:D75" si="34">C20*B20</f>
        <v>35520</v>
      </c>
      <c r="E20" s="3"/>
      <c r="F20" s="3"/>
      <c r="G20" s="3"/>
    </row>
    <row r="21">
      <c r="A21" s="1" t="s">
        <v>22</v>
      </c>
      <c r="B21" s="2">
        <v>3260</v>
      </c>
      <c r="C21" s="69">
        <v>11.06037004</v>
      </c>
      <c r="D21" s="69">
        <f t="shared" si="34"/>
        <v>36056.806330400002</v>
      </c>
      <c r="E21" s="3"/>
      <c r="F21" s="3"/>
      <c r="G21" s="3"/>
    </row>
    <row r="22">
      <c r="A22" s="1" t="s">
        <v>80</v>
      </c>
      <c r="B22" s="2">
        <v>3150</v>
      </c>
      <c r="C22" s="69">
        <v>11.06037004</v>
      </c>
      <c r="D22" s="69">
        <f t="shared" si="34"/>
        <v>34840.165626000002</v>
      </c>
      <c r="E22" s="3"/>
      <c r="F22" s="3"/>
      <c r="G22" s="3"/>
    </row>
    <row r="23">
      <c r="A23" s="1" t="s">
        <v>81</v>
      </c>
      <c r="B23" s="2">
        <v>110</v>
      </c>
      <c r="C23" s="69">
        <v>11.06037004</v>
      </c>
      <c r="D23" s="69">
        <f t="shared" si="34"/>
        <v>1216.6407044</v>
      </c>
      <c r="E23" s="3"/>
      <c r="F23" s="3"/>
      <c r="G23" s="3"/>
    </row>
    <row r="24">
      <c r="A24" s="34"/>
      <c r="B24" s="71"/>
      <c r="C24" s="71"/>
      <c r="D24" s="71"/>
      <c r="E24" s="3"/>
      <c r="F24" s="3"/>
      <c r="G24" s="3"/>
    </row>
    <row r="25">
      <c r="A25" s="72" t="s">
        <v>85</v>
      </c>
      <c r="B25" s="73"/>
      <c r="C25" s="73"/>
      <c r="D25" s="74"/>
      <c r="E25" s="3"/>
      <c r="F25" s="3"/>
      <c r="G25" s="3"/>
    </row>
    <row r="26">
      <c r="A26" s="37"/>
      <c r="B26" s="33" t="s">
        <v>74</v>
      </c>
      <c r="C26" s="17" t="s">
        <v>75</v>
      </c>
      <c r="D26" s="17" t="s">
        <v>76</v>
      </c>
      <c r="E26" s="3"/>
      <c r="F26" s="3"/>
      <c r="G26" s="3"/>
    </row>
    <row r="27">
      <c r="A27" s="20" t="s">
        <v>77</v>
      </c>
      <c r="B27" s="66">
        <v>60</v>
      </c>
      <c r="C27" s="67">
        <v>4.7999999999999998</v>
      </c>
      <c r="D27" s="67">
        <v>288</v>
      </c>
      <c r="E27" s="3"/>
      <c r="F27" s="3"/>
      <c r="G27" s="3"/>
    </row>
    <row r="28">
      <c r="A28" s="1" t="s">
        <v>78</v>
      </c>
      <c r="B28" s="2">
        <v>3200</v>
      </c>
      <c r="C28" s="69">
        <v>3.7000000000000002</v>
      </c>
      <c r="D28" s="69">
        <f t="shared" si="34"/>
        <v>11840</v>
      </c>
      <c r="E28" s="3"/>
      <c r="F28" s="3"/>
      <c r="G28" s="3"/>
    </row>
    <row r="29">
      <c r="A29" s="1" t="s">
        <v>22</v>
      </c>
      <c r="B29" s="2">
        <v>3260</v>
      </c>
      <c r="C29" s="69">
        <v>3.7199188470000002</v>
      </c>
      <c r="D29" s="69">
        <f t="shared" si="34"/>
        <v>12126.935441220001</v>
      </c>
      <c r="E29" s="3"/>
      <c r="F29" s="3"/>
      <c r="G29" s="3"/>
    </row>
    <row r="30">
      <c r="A30" s="1" t="s">
        <v>80</v>
      </c>
      <c r="B30" s="2">
        <v>3150</v>
      </c>
      <c r="C30" s="69">
        <v>3.7199188470000002</v>
      </c>
      <c r="D30" s="69">
        <f t="shared" si="34"/>
        <v>11717.74436805</v>
      </c>
      <c r="E30" s="3"/>
      <c r="F30" s="3"/>
      <c r="G30" s="3"/>
    </row>
    <row r="31">
      <c r="A31" s="1" t="s">
        <v>81</v>
      </c>
      <c r="B31" s="2">
        <v>110</v>
      </c>
      <c r="C31" s="69">
        <v>3.7199188470000002</v>
      </c>
      <c r="D31" s="69">
        <f t="shared" si="34"/>
        <v>409.19107317000004</v>
      </c>
      <c r="E31" s="3"/>
      <c r="F31" s="3"/>
      <c r="G31" s="3"/>
    </row>
    <row r="32">
      <c r="A32" s="34"/>
      <c r="B32" s="71"/>
      <c r="C32" s="71"/>
      <c r="D32" s="71"/>
      <c r="E32" s="3"/>
      <c r="F32" s="3"/>
      <c r="G32" s="3"/>
    </row>
    <row r="33">
      <c r="A33" s="72" t="s">
        <v>67</v>
      </c>
      <c r="B33" s="73"/>
      <c r="C33" s="73"/>
      <c r="D33" s="74"/>
      <c r="E33" s="3"/>
      <c r="F33" s="3"/>
      <c r="G33" s="3"/>
    </row>
    <row r="34">
      <c r="A34" s="37"/>
      <c r="B34" s="33" t="s">
        <v>74</v>
      </c>
      <c r="C34" s="17" t="s">
        <v>75</v>
      </c>
      <c r="D34" s="17" t="s">
        <v>76</v>
      </c>
      <c r="E34" s="3"/>
      <c r="F34" s="3"/>
      <c r="G34" s="3"/>
    </row>
    <row r="35">
      <c r="A35" s="20" t="s">
        <v>77</v>
      </c>
      <c r="B35" s="66">
        <v>20</v>
      </c>
      <c r="C35" s="67">
        <v>1.05</v>
      </c>
      <c r="D35" s="67">
        <v>21</v>
      </c>
      <c r="E35" s="3"/>
      <c r="F35" s="3"/>
      <c r="G35" s="3"/>
    </row>
    <row r="36">
      <c r="A36" s="1" t="s">
        <v>78</v>
      </c>
      <c r="B36" s="2">
        <v>1350</v>
      </c>
      <c r="C36" s="69">
        <v>1.3200000000000001</v>
      </c>
      <c r="D36" s="69">
        <f t="shared" si="34"/>
        <v>1782</v>
      </c>
      <c r="E36" s="3"/>
      <c r="F36" s="3"/>
      <c r="G36" s="3"/>
    </row>
    <row r="37">
      <c r="A37" s="1" t="s">
        <v>22</v>
      </c>
      <c r="B37" s="2">
        <v>1370</v>
      </c>
      <c r="C37" s="69">
        <v>1.311562275</v>
      </c>
      <c r="D37" s="69">
        <f t="shared" si="34"/>
        <v>1796.8403167500001</v>
      </c>
      <c r="E37" s="3"/>
      <c r="F37" s="3"/>
      <c r="G37" s="3"/>
    </row>
    <row r="38">
      <c r="A38" s="1" t="s">
        <v>80</v>
      </c>
      <c r="B38" s="2">
        <v>1325</v>
      </c>
      <c r="C38" s="69">
        <v>1.311562275</v>
      </c>
      <c r="D38" s="69">
        <f t="shared" si="34"/>
        <v>1737.820014375</v>
      </c>
      <c r="E38" s="3"/>
      <c r="F38" s="3"/>
      <c r="G38" s="3"/>
    </row>
    <row r="39">
      <c r="A39" s="1" t="s">
        <v>81</v>
      </c>
      <c r="B39" s="2">
        <v>45</v>
      </c>
      <c r="C39" s="69">
        <v>1.311562275</v>
      </c>
      <c r="D39" s="69">
        <f t="shared" si="34"/>
        <v>59.020302375</v>
      </c>
      <c r="E39" s="3"/>
      <c r="F39" s="3"/>
      <c r="G39" s="3"/>
    </row>
    <row r="40">
      <c r="A40" s="34"/>
      <c r="B40" s="71"/>
      <c r="C40" s="71"/>
      <c r="D40" s="71"/>
      <c r="E40" s="3"/>
      <c r="F40" s="3"/>
      <c r="G40" s="3"/>
    </row>
    <row r="41">
      <c r="A41" s="72" t="s">
        <v>86</v>
      </c>
      <c r="B41" s="73"/>
      <c r="C41" s="73"/>
      <c r="D41" s="74"/>
      <c r="E41" s="3"/>
      <c r="F41" s="3"/>
      <c r="G41" s="3"/>
    </row>
    <row r="42">
      <c r="A42" s="37"/>
      <c r="B42" s="33" t="s">
        <v>74</v>
      </c>
      <c r="C42" s="17" t="s">
        <v>75</v>
      </c>
      <c r="D42" s="17" t="s">
        <v>76</v>
      </c>
      <c r="E42" s="3"/>
      <c r="F42" s="3"/>
      <c r="G42" s="3"/>
    </row>
    <row r="43">
      <c r="A43" s="20" t="s">
        <v>77</v>
      </c>
      <c r="B43" s="66">
        <v>39</v>
      </c>
      <c r="C43" s="67">
        <v>1.05</v>
      </c>
      <c r="D43" s="67">
        <v>40.950000000000003</v>
      </c>
      <c r="E43" s="3"/>
      <c r="F43" s="3"/>
      <c r="G43" s="3"/>
    </row>
    <row r="44">
      <c r="A44" s="1" t="s">
        <v>78</v>
      </c>
      <c r="B44" s="2">
        <v>1850</v>
      </c>
      <c r="C44" s="69">
        <v>1.28</v>
      </c>
      <c r="D44" s="69">
        <f t="shared" si="34"/>
        <v>2368</v>
      </c>
      <c r="E44" s="3"/>
      <c r="F44" s="3"/>
      <c r="G44" s="3"/>
    </row>
    <row r="45">
      <c r="A45" s="1" t="s">
        <v>22</v>
      </c>
      <c r="B45" s="2">
        <v>1889</v>
      </c>
      <c r="C45" s="69">
        <v>1.2751387439999999</v>
      </c>
      <c r="D45" s="69">
        <f t="shared" si="34"/>
        <v>2408.7370874159997</v>
      </c>
      <c r="E45" s="3"/>
      <c r="F45" s="3"/>
      <c r="G45" s="3"/>
    </row>
    <row r="46">
      <c r="A46" s="1" t="s">
        <v>80</v>
      </c>
      <c r="B46" s="2">
        <v>1825</v>
      </c>
      <c r="C46" s="69">
        <v>1.2751387439999999</v>
      </c>
      <c r="D46" s="69">
        <f t="shared" si="34"/>
        <v>2327.1282077999999</v>
      </c>
      <c r="E46" s="3"/>
      <c r="F46" s="3"/>
      <c r="G46" s="3"/>
    </row>
    <row r="47">
      <c r="A47" s="1" t="s">
        <v>81</v>
      </c>
      <c r="B47" s="2">
        <v>64</v>
      </c>
      <c r="C47" s="69">
        <v>1.2751387439999999</v>
      </c>
      <c r="D47" s="69">
        <f t="shared" si="34"/>
        <v>81.608879615999996</v>
      </c>
      <c r="E47" s="3"/>
      <c r="F47" s="3"/>
      <c r="G47" s="3"/>
    </row>
    <row r="48">
      <c r="A48" s="34"/>
      <c r="B48" s="71"/>
      <c r="C48" s="71"/>
      <c r="D48" s="71"/>
      <c r="E48" s="3"/>
      <c r="F48" s="3"/>
      <c r="G48" s="3"/>
    </row>
    <row r="49">
      <c r="A49" s="72" t="s">
        <v>70</v>
      </c>
      <c r="B49" s="73"/>
      <c r="C49" s="73"/>
      <c r="D49" s="74"/>
      <c r="E49" s="3"/>
      <c r="F49" s="3"/>
      <c r="G49" s="3"/>
    </row>
    <row r="50">
      <c r="A50" s="37"/>
      <c r="B50" s="33" t="s">
        <v>74</v>
      </c>
      <c r="C50" s="17" t="s">
        <v>75</v>
      </c>
      <c r="D50" s="17" t="s">
        <v>76</v>
      </c>
      <c r="E50" s="3"/>
      <c r="F50" s="3"/>
      <c r="G50" s="3"/>
    </row>
    <row r="51">
      <c r="A51" s="20" t="s">
        <v>77</v>
      </c>
      <c r="B51" s="66">
        <v>41</v>
      </c>
      <c r="C51" s="67">
        <v>1.03</v>
      </c>
      <c r="D51" s="67">
        <v>42.229999999999997</v>
      </c>
      <c r="E51" s="3"/>
      <c r="F51" s="3"/>
      <c r="G51" s="3"/>
    </row>
    <row r="52">
      <c r="A52" s="1" t="s">
        <v>78</v>
      </c>
      <c r="B52" s="2">
        <v>1850</v>
      </c>
      <c r="C52" s="69">
        <v>1.3</v>
      </c>
      <c r="D52" s="69">
        <f t="shared" si="34"/>
        <v>2405</v>
      </c>
      <c r="E52" s="3"/>
      <c r="F52" s="3"/>
      <c r="G52" s="3"/>
    </row>
    <row r="53">
      <c r="A53" s="1" t="s">
        <v>22</v>
      </c>
      <c r="B53" s="2">
        <v>1891</v>
      </c>
      <c r="C53" s="69">
        <v>1.2963793560000001</v>
      </c>
      <c r="D53" s="69">
        <f t="shared" si="34"/>
        <v>2451.4533621960004</v>
      </c>
      <c r="E53" s="3"/>
      <c r="F53" s="3"/>
      <c r="G53" s="3"/>
    </row>
    <row r="54">
      <c r="A54" s="1" t="s">
        <v>80</v>
      </c>
      <c r="B54" s="2">
        <v>1825</v>
      </c>
      <c r="C54" s="69">
        <v>1.2963793560000001</v>
      </c>
      <c r="D54" s="69">
        <f t="shared" si="34"/>
        <v>2365.8923247000002</v>
      </c>
      <c r="E54" s="3"/>
      <c r="F54" s="3"/>
      <c r="G54" s="3"/>
    </row>
    <row r="55">
      <c r="A55" s="1" t="s">
        <v>81</v>
      </c>
      <c r="B55" s="2">
        <v>66</v>
      </c>
      <c r="C55" s="69">
        <v>1.2963793560000001</v>
      </c>
      <c r="D55" s="69">
        <f t="shared" si="34"/>
        <v>85.561037496000012</v>
      </c>
      <c r="E55" s="3"/>
      <c r="F55" s="3"/>
      <c r="G55" s="3"/>
    </row>
    <row r="56">
      <c r="A56" s="34"/>
      <c r="B56" s="71"/>
      <c r="C56" s="71"/>
      <c r="D56" s="71"/>
      <c r="E56" s="3"/>
      <c r="F56" s="3"/>
      <c r="G56" s="3"/>
    </row>
    <row r="57">
      <c r="A57" s="75"/>
      <c r="B57" s="52"/>
      <c r="C57" s="52"/>
      <c r="D57" s="52"/>
      <c r="E57" s="3"/>
      <c r="F57" s="3"/>
      <c r="G57" s="3"/>
    </row>
    <row r="58">
      <c r="A58" s="73" t="s">
        <v>71</v>
      </c>
      <c r="B58" s="73"/>
      <c r="C58" s="73"/>
      <c r="D58" s="73"/>
      <c r="E58" s="3"/>
      <c r="F58" s="3"/>
      <c r="G58" s="3"/>
    </row>
    <row r="59">
      <c r="A59" s="37"/>
      <c r="B59" s="33" t="s">
        <v>74</v>
      </c>
      <c r="C59" s="17" t="s">
        <v>75</v>
      </c>
      <c r="D59" s="17" t="s">
        <v>76</v>
      </c>
      <c r="E59" s="3"/>
      <c r="F59" s="3"/>
      <c r="G59" s="3"/>
    </row>
    <row r="60">
      <c r="A60" s="20" t="s">
        <v>77</v>
      </c>
      <c r="B60" s="66">
        <v>21</v>
      </c>
      <c r="C60" s="60">
        <v>1.03</v>
      </c>
      <c r="D60" s="60">
        <v>21.629999999999999</v>
      </c>
      <c r="E60" s="3"/>
      <c r="F60" s="3"/>
      <c r="G60" s="3"/>
    </row>
    <row r="61">
      <c r="A61" s="1" t="s">
        <v>78</v>
      </c>
      <c r="B61" s="2">
        <v>1350</v>
      </c>
      <c r="C61" s="69">
        <v>1.3</v>
      </c>
      <c r="D61" s="69">
        <f t="shared" si="34"/>
        <v>1755</v>
      </c>
      <c r="E61" s="3"/>
      <c r="F61" s="3"/>
      <c r="G61" s="3"/>
    </row>
    <row r="62">
      <c r="A62" s="1" t="s">
        <v>22</v>
      </c>
      <c r="B62" s="2">
        <v>1371</v>
      </c>
      <c r="C62" s="69">
        <v>1.2981122629999999</v>
      </c>
      <c r="D62" s="69">
        <f t="shared" si="34"/>
        <v>1779.7119125729998</v>
      </c>
      <c r="E62" s="3"/>
      <c r="F62" s="3"/>
      <c r="G62" s="3"/>
    </row>
    <row r="63">
      <c r="A63" s="1" t="s">
        <v>80</v>
      </c>
      <c r="B63" s="2">
        <v>1325</v>
      </c>
      <c r="C63" s="69">
        <v>1.2981122629999999</v>
      </c>
      <c r="D63" s="69">
        <f t="shared" si="34"/>
        <v>1719.998748475</v>
      </c>
      <c r="E63" s="3"/>
      <c r="F63" s="3"/>
      <c r="G63" s="3"/>
    </row>
    <row r="64">
      <c r="A64" s="1" t="s">
        <v>81</v>
      </c>
      <c r="B64" s="2">
        <v>46</v>
      </c>
      <c r="C64" s="69">
        <v>1.2981122629999999</v>
      </c>
      <c r="D64" s="69">
        <f t="shared" si="34"/>
        <v>59.713164098</v>
      </c>
      <c r="E64" s="3"/>
      <c r="F64" s="3"/>
      <c r="G64" s="3"/>
    </row>
    <row r="65">
      <c r="A65" s="34"/>
      <c r="B65" s="71"/>
      <c r="C65" s="71"/>
      <c r="D65" s="71"/>
      <c r="E65" s="3"/>
      <c r="F65" s="3"/>
      <c r="G65" s="3"/>
    </row>
    <row r="66">
      <c r="A66" s="75"/>
      <c r="B66" s="52"/>
      <c r="C66" s="52"/>
      <c r="D66" s="52"/>
      <c r="E66" s="3"/>
      <c r="F66" s="3"/>
      <c r="G66" s="3"/>
    </row>
    <row r="67">
      <c r="A67" s="73" t="s">
        <v>72</v>
      </c>
      <c r="B67" s="73"/>
      <c r="C67" s="73"/>
      <c r="D67" s="73"/>
      <c r="E67" s="3"/>
      <c r="F67" s="3"/>
      <c r="G67" s="3"/>
    </row>
    <row r="68">
      <c r="A68" s="37"/>
      <c r="B68" s="33" t="s">
        <v>74</v>
      </c>
      <c r="C68" s="17" t="s">
        <v>75</v>
      </c>
      <c r="D68" s="17" t="s">
        <v>76</v>
      </c>
      <c r="E68" s="3"/>
      <c r="F68" s="3"/>
      <c r="G68" s="3"/>
    </row>
    <row r="69">
      <c r="A69" s="20" t="s">
        <v>77</v>
      </c>
      <c r="B69" s="66">
        <v>19</v>
      </c>
      <c r="C69" s="60">
        <v>7</v>
      </c>
      <c r="D69" s="60">
        <v>133</v>
      </c>
      <c r="E69" s="3"/>
      <c r="F69" s="3"/>
      <c r="G69" s="3"/>
    </row>
    <row r="70">
      <c r="A70" s="1" t="s">
        <v>78</v>
      </c>
      <c r="B70" s="2">
        <v>3200</v>
      </c>
      <c r="C70" s="69">
        <v>2.96</v>
      </c>
      <c r="D70" s="69">
        <f t="shared" si="34"/>
        <v>9472</v>
      </c>
      <c r="E70" s="3"/>
      <c r="F70" s="3"/>
      <c r="G70" s="3"/>
    </row>
    <row r="71">
      <c r="A71" s="1" t="s">
        <v>22</v>
      </c>
      <c r="B71" s="2">
        <v>3219</v>
      </c>
      <c r="C71" s="69">
        <v>2.9835813459999998</v>
      </c>
      <c r="D71" s="69">
        <f t="shared" si="34"/>
        <v>9604.1483527740002</v>
      </c>
      <c r="E71" s="3"/>
      <c r="F71" s="3"/>
      <c r="G71" s="3"/>
    </row>
    <row r="72">
      <c r="A72" s="1" t="s">
        <v>80</v>
      </c>
      <c r="B72" s="2">
        <v>3150</v>
      </c>
      <c r="C72" s="69">
        <v>2.9835813459999998</v>
      </c>
      <c r="D72" s="69">
        <f t="shared" si="34"/>
        <v>9398.2812398999995</v>
      </c>
      <c r="E72" s="3"/>
      <c r="F72" s="3"/>
      <c r="G72" s="3"/>
    </row>
    <row r="73">
      <c r="A73" s="1" t="s">
        <v>81</v>
      </c>
      <c r="B73" s="2">
        <v>69</v>
      </c>
      <c r="C73" s="69">
        <v>2.9835813459999998</v>
      </c>
      <c r="D73" s="69">
        <f t="shared" si="34"/>
        <v>205.86711287399999</v>
      </c>
      <c r="E73" s="3"/>
      <c r="F73" s="3"/>
      <c r="G73" s="3"/>
    </row>
    <row r="74">
      <c r="A74" s="1" t="s">
        <v>80</v>
      </c>
      <c r="B74" s="2">
        <v>3150</v>
      </c>
      <c r="C74" s="69">
        <v>2.9835813459999998</v>
      </c>
      <c r="D74" s="69">
        <f t="shared" si="34"/>
        <v>9398.2812398999995</v>
      </c>
      <c r="E74" s="3"/>
      <c r="F74" s="3"/>
      <c r="G74" s="3"/>
    </row>
    <row r="75">
      <c r="A75" s="1" t="s">
        <v>81</v>
      </c>
      <c r="B75" s="2">
        <v>69</v>
      </c>
      <c r="C75" s="69">
        <v>2.9835813459999998</v>
      </c>
      <c r="D75" s="69">
        <f t="shared" si="34"/>
        <v>205.86711287399999</v>
      </c>
      <c r="E75" s="3"/>
      <c r="F75" s="3"/>
      <c r="G75" s="3"/>
    </row>
    <row r="76">
      <c r="A76" s="3"/>
      <c r="B76" s="3"/>
      <c r="C76" s="3"/>
      <c r="D76" s="76"/>
      <c r="E76" s="3"/>
      <c r="F76" s="3"/>
      <c r="G76" s="3"/>
    </row>
    <row r="77" ht="15">
      <c r="A77" s="73" t="s">
        <v>73</v>
      </c>
      <c r="B77" s="73"/>
      <c r="C77" s="73"/>
      <c r="D77" s="73"/>
    </row>
    <row r="78" ht="15">
      <c r="A78" s="37"/>
      <c r="B78" s="33" t="s">
        <v>74</v>
      </c>
      <c r="C78" s="17" t="s">
        <v>75</v>
      </c>
      <c r="D78" s="17" t="s">
        <v>76</v>
      </c>
    </row>
    <row r="79" ht="15">
      <c r="A79" s="20" t="s">
        <v>77</v>
      </c>
      <c r="B79" s="66"/>
      <c r="C79" s="60"/>
      <c r="D79" s="60"/>
    </row>
    <row r="80" ht="15">
      <c r="A80" s="20" t="s">
        <v>78</v>
      </c>
      <c r="B80" s="66"/>
      <c r="C80" s="67"/>
      <c r="D80" s="67">
        <f>C80*B80</f>
        <v>0</v>
      </c>
    </row>
    <row r="81" ht="15">
      <c r="A81" s="20" t="s">
        <v>22</v>
      </c>
      <c r="B81" s="66"/>
      <c r="C81" s="67"/>
      <c r="D81" s="67">
        <f>C81*B81</f>
        <v>0</v>
      </c>
    </row>
    <row r="82" ht="15">
      <c r="A82" s="20" t="s">
        <v>80</v>
      </c>
      <c r="B82" s="66"/>
      <c r="C82" s="67"/>
      <c r="D82" s="67">
        <f>C82*B82</f>
        <v>0</v>
      </c>
    </row>
    <row r="83" ht="15">
      <c r="A83" s="20" t="s">
        <v>81</v>
      </c>
      <c r="B83" s="66"/>
      <c r="C83" s="67"/>
      <c r="D83" s="67">
        <f>C83*B83</f>
        <v>0</v>
      </c>
    </row>
    <row r="84" ht="15">
      <c r="A84" s="20" t="s">
        <v>80</v>
      </c>
      <c r="B84" s="66"/>
      <c r="C84" s="67"/>
      <c r="D84" s="67">
        <f>C84*B84</f>
        <v>0</v>
      </c>
    </row>
    <row r="85" ht="15">
      <c r="A85" s="20" t="s">
        <v>81</v>
      </c>
      <c r="B85" s="66"/>
      <c r="C85" s="67"/>
      <c r="D85" s="67">
        <f>C85*B85</f>
        <v>0</v>
      </c>
    </row>
  </sheetData>
  <mergeCells count="10">
    <mergeCell ref="A1:D1"/>
    <mergeCell ref="A9:D9"/>
    <mergeCell ref="A17:D17"/>
    <mergeCell ref="A25:D25"/>
    <mergeCell ref="A33:D33"/>
    <mergeCell ref="A41:D41"/>
    <mergeCell ref="A49:D49"/>
    <mergeCell ref="A58:D58"/>
    <mergeCell ref="A67:D67"/>
    <mergeCell ref="A77:D7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30.8828125"/>
    <col bestFit="1" min="2" max="2" width="14.08203125"/>
    <col bestFit="1" min="3" max="3" width="25.51171875"/>
    <col bestFit="1" min="4" max="4" width="20.82421875"/>
    <col bestFit="1" min="5" max="5" width="17.40234375"/>
    <col bestFit="1" min="6" max="7" width="11.57421875"/>
    <col bestFit="1" min="8" max="8" width="27.22265625"/>
  </cols>
  <sheetData>
    <row r="1">
      <c r="A1" s="77" t="s">
        <v>87</v>
      </c>
      <c r="B1" s="34"/>
      <c r="C1" s="34"/>
      <c r="D1" s="34"/>
      <c r="E1" s="34"/>
      <c r="F1" s="78" t="s">
        <v>5</v>
      </c>
      <c r="G1" s="78" t="s">
        <v>8</v>
      </c>
      <c r="H1" s="3"/>
    </row>
    <row r="2">
      <c r="A2" s="20" t="s">
        <v>3</v>
      </c>
      <c r="B2" s="61">
        <f>'Stock acheté'!B6</f>
        <v>6300</v>
      </c>
      <c r="C2" s="39">
        <f>'Stock acheté'!C6</f>
        <v>3.6959924665240513</v>
      </c>
      <c r="D2" s="39">
        <f>'Stock acheté'!D6</f>
        <v>23284.752539101522</v>
      </c>
      <c r="E2" s="34"/>
      <c r="F2" s="61">
        <f>Données!$D$20*'Cout de production'!$C2*2</f>
        <v>13490.372502812786</v>
      </c>
      <c r="G2" s="61">
        <f>Données!$D$21*'Cout de production'!$C2*2</f>
        <v>9794.3800362887359</v>
      </c>
      <c r="H2" s="3"/>
    </row>
    <row r="3">
      <c r="A3" s="20" t="s">
        <v>6</v>
      </c>
      <c r="B3" s="61">
        <f>'Stock acheté'!B14</f>
        <v>3150</v>
      </c>
      <c r="C3" s="39">
        <f>'Stock acheté'!C14</f>
        <v>11.115584760000001</v>
      </c>
      <c r="D3" s="39">
        <f>'Stock acheté'!D14</f>
        <v>35014.091999999997</v>
      </c>
      <c r="E3" s="34"/>
      <c r="F3" s="61">
        <f>Données!$D$20*'Cout de production'!$C3</f>
        <v>20285.942187000001</v>
      </c>
      <c r="G3" s="61">
        <f>Données!$D$21*'Cout de production'!$C3</f>
        <v>14728.149807000002</v>
      </c>
      <c r="H3" s="3"/>
    </row>
    <row r="4" ht="18.75">
      <c r="A4" s="20" t="s">
        <v>9</v>
      </c>
      <c r="B4" s="61">
        <f>'Stock acheté'!B22</f>
        <v>3150</v>
      </c>
      <c r="C4" s="39">
        <f>'Stock acheté'!C22</f>
        <v>11.06037004</v>
      </c>
      <c r="D4" s="39">
        <f>'Stock acheté'!D22</f>
        <v>34840.165626000002</v>
      </c>
      <c r="E4" s="34"/>
      <c r="F4" s="61">
        <f>Données!$D$20*'Cout de production'!$C4</f>
        <v>20185.175322999999</v>
      </c>
      <c r="G4" s="61">
        <f>Données!$D$21*'Cout de production'!$C4</f>
        <v>14654.990303</v>
      </c>
      <c r="H4" s="79" t="s">
        <v>88</v>
      </c>
    </row>
    <row r="5">
      <c r="A5" s="20" t="s">
        <v>11</v>
      </c>
      <c r="B5" s="61">
        <f>'Stock acheté'!B30</f>
        <v>3150</v>
      </c>
      <c r="C5" s="39">
        <f>'Stock acheté'!C30</f>
        <v>3.7199188470000002</v>
      </c>
      <c r="D5" s="39">
        <f>'Stock acheté'!D30</f>
        <v>11717.74436805</v>
      </c>
      <c r="E5" s="34"/>
      <c r="F5" s="61">
        <f>Données!$D$20*'Cout de production'!$C5</f>
        <v>6788.8518957750002</v>
      </c>
      <c r="G5" s="61">
        <f>Données!$D$21*'Cout de production'!$C5</f>
        <v>4928.8924722749998</v>
      </c>
      <c r="H5" s="3"/>
    </row>
    <row r="6">
      <c r="A6" s="20" t="s">
        <v>67</v>
      </c>
      <c r="B6" s="61">
        <f>'Stock acheté'!B38</f>
        <v>1325</v>
      </c>
      <c r="C6" s="39">
        <f>'Stock acheté'!C38</f>
        <v>1.311562275</v>
      </c>
      <c r="D6" s="39">
        <f>'Stock acheté'!D38</f>
        <v>1737.820014375</v>
      </c>
      <c r="E6" s="34"/>
      <c r="F6" s="34"/>
      <c r="G6" s="39">
        <f>D6</f>
        <v>1737.820014375</v>
      </c>
      <c r="H6" s="3"/>
    </row>
    <row r="7">
      <c r="A7" s="20" t="s">
        <v>69</v>
      </c>
      <c r="B7" s="61">
        <f>'Stock acheté'!B46</f>
        <v>1825</v>
      </c>
      <c r="C7" s="39">
        <f>'Stock acheté'!C46</f>
        <v>1.2751387439999999</v>
      </c>
      <c r="D7" s="39">
        <f>'Stock acheté'!D46</f>
        <v>2327.1282077999999</v>
      </c>
      <c r="E7" s="34"/>
      <c r="F7" s="61">
        <f>Données!$D$20*'Cout de production'!$C7</f>
        <v>2327.1282077999999</v>
      </c>
      <c r="G7" s="34"/>
      <c r="H7" s="3"/>
    </row>
    <row r="8">
      <c r="A8" s="20" t="s">
        <v>70</v>
      </c>
      <c r="B8" s="61">
        <f>'Stock acheté'!B54</f>
        <v>1825</v>
      </c>
      <c r="C8" s="39">
        <f>'Stock acheté'!C54</f>
        <v>1.2963793560000001</v>
      </c>
      <c r="D8" s="39">
        <f>'Stock acheté'!D54</f>
        <v>2365.8923247000002</v>
      </c>
      <c r="E8" s="34"/>
      <c r="F8" s="61">
        <f>Données!$D$20*'Cout de production'!$C8</f>
        <v>2365.8923247000002</v>
      </c>
      <c r="G8" s="34"/>
      <c r="H8" s="3"/>
    </row>
    <row r="9">
      <c r="A9" s="20" t="s">
        <v>71</v>
      </c>
      <c r="B9" s="61">
        <f>'Stock acheté'!B63</f>
        <v>1325</v>
      </c>
      <c r="C9" s="39">
        <f>'Stock acheté'!C63</f>
        <v>1.2981122629999999</v>
      </c>
      <c r="D9" s="39">
        <f>'Stock acheté'!D63</f>
        <v>1719.998748475</v>
      </c>
      <c r="E9" s="34"/>
      <c r="F9" s="34"/>
      <c r="G9" s="61">
        <f>Données!$D$21*'Cout de production'!$C9</f>
        <v>1719.998748475</v>
      </c>
      <c r="H9" s="3"/>
    </row>
    <row r="10">
      <c r="A10" s="20" t="s">
        <v>72</v>
      </c>
      <c r="B10" s="61">
        <f>'Stock acheté'!B72</f>
        <v>3150</v>
      </c>
      <c r="C10" s="39">
        <f>'Stock acheté'!C72</f>
        <v>2.9835813459999998</v>
      </c>
      <c r="D10" s="39">
        <f>'Stock acheté'!D72</f>
        <v>9398.2812398999995</v>
      </c>
      <c r="E10" s="34"/>
      <c r="F10" s="61">
        <f>Données!$D$20*'Cout de production'!$C10</f>
        <v>5445.0359564499995</v>
      </c>
      <c r="G10" s="61">
        <f>Données!$D$21*'Cout de production'!$C10</f>
        <v>3953.2452834499995</v>
      </c>
      <c r="H10" s="3"/>
    </row>
    <row r="11">
      <c r="A11" s="20" t="s">
        <v>22</v>
      </c>
      <c r="B11" s="34"/>
      <c r="C11" s="34"/>
      <c r="D11" s="34"/>
      <c r="E11" s="34"/>
      <c r="F11" s="61">
        <f>SUM(F2:F10)</f>
        <v>70888.398397537792</v>
      </c>
      <c r="G11" s="61">
        <f>SUM(G2:G10)</f>
        <v>51517.476664863738</v>
      </c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80" t="s">
        <v>89</v>
      </c>
      <c r="B14" s="3"/>
      <c r="C14" s="3"/>
      <c r="D14" s="3"/>
      <c r="E14" s="3"/>
      <c r="F14" s="3"/>
      <c r="G14" s="3"/>
      <c r="H14" s="3"/>
    </row>
    <row r="15">
      <c r="A15" s="19" t="s">
        <v>90</v>
      </c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80" t="s">
        <v>91</v>
      </c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81" t="s">
        <v>92</v>
      </c>
      <c r="F18" s="81">
        <v>70</v>
      </c>
      <c r="G18" s="81">
        <v>82</v>
      </c>
      <c r="H18" s="3"/>
    </row>
    <row r="19">
      <c r="A19" s="3"/>
      <c r="B19" s="3"/>
      <c r="C19" s="3"/>
      <c r="D19" s="3"/>
      <c r="E19" s="82" t="s">
        <v>93</v>
      </c>
      <c r="F19" s="39">
        <f>'Charges indirectes'!$F$37</f>
        <v>105.05756578947368</v>
      </c>
      <c r="G19" s="39">
        <f>'Charges indirectes'!$F$37</f>
        <v>105.05756578947368</v>
      </c>
      <c r="H19" s="3"/>
    </row>
    <row r="20">
      <c r="A20" s="3"/>
      <c r="B20" s="3"/>
      <c r="C20" s="3"/>
      <c r="D20" s="3"/>
      <c r="E20" s="82" t="s">
        <v>22</v>
      </c>
      <c r="F20" s="39">
        <f>F18*F19</f>
        <v>7354.0296052631584</v>
      </c>
      <c r="G20" s="39">
        <f>G18*G19</f>
        <v>8614.7203947368416</v>
      </c>
      <c r="H20" s="3"/>
    </row>
    <row r="21">
      <c r="A21" s="3"/>
      <c r="B21" s="3"/>
      <c r="C21" s="3"/>
      <c r="D21" s="3"/>
      <c r="E21" s="34"/>
      <c r="F21" s="34"/>
      <c r="G21" s="34"/>
      <c r="H21" s="3"/>
    </row>
    <row r="22">
      <c r="A22" s="6" t="s">
        <v>22</v>
      </c>
      <c r="B22" s="3"/>
      <c r="C22" s="3"/>
      <c r="D22" s="3"/>
      <c r="E22" s="82" t="s">
        <v>94</v>
      </c>
      <c r="F22" s="39">
        <f>F11+F20</f>
        <v>78242.428002800953</v>
      </c>
      <c r="G22" s="39">
        <f>G11+G20</f>
        <v>60132.197059600578</v>
      </c>
      <c r="H22" s="3"/>
    </row>
    <row r="23">
      <c r="A23" s="3"/>
      <c r="B23" s="3"/>
      <c r="C23" s="3"/>
      <c r="D23" s="3"/>
      <c r="E23" s="82" t="s">
        <v>95</v>
      </c>
      <c r="F23" s="61">
        <f>Données!D20</f>
        <v>1825</v>
      </c>
      <c r="G23" s="61">
        <f>Données!D21</f>
        <v>1325</v>
      </c>
      <c r="H23" s="3"/>
    </row>
    <row r="24">
      <c r="A24" s="3"/>
      <c r="B24" s="3"/>
      <c r="C24" s="3"/>
      <c r="D24" s="3"/>
      <c r="E24" s="82" t="s">
        <v>96</v>
      </c>
      <c r="F24" s="39">
        <f>F22/F23</f>
        <v>42.872563289205999</v>
      </c>
      <c r="G24" s="39">
        <f>G22/G23</f>
        <v>45.382790233660813</v>
      </c>
      <c r="H24" s="3"/>
    </row>
    <row r="27" ht="14.25">
      <c r="A27" s="77" t="s">
        <v>87</v>
      </c>
      <c r="B27" s="83" t="s">
        <v>97</v>
      </c>
      <c r="C27" s="83" t="s">
        <v>98</v>
      </c>
      <c r="D27" s="83" t="s">
        <v>99</v>
      </c>
      <c r="E27" s="34"/>
      <c r="F27" s="78" t="s">
        <v>5</v>
      </c>
      <c r="G27" s="78" t="s">
        <v>8</v>
      </c>
    </row>
    <row r="28" ht="14.25">
      <c r="A28" s="20" t="s">
        <v>3</v>
      </c>
      <c r="B28" s="61">
        <f>'Stock acheté'!B32</f>
        <v>0</v>
      </c>
      <c r="C28" s="39">
        <f>'Stock acheté'!C32</f>
        <v>0</v>
      </c>
      <c r="D28" s="39">
        <f>'Stock acheté'!D32</f>
        <v>0</v>
      </c>
      <c r="E28" s="34"/>
      <c r="F28" s="61">
        <f>Données!$D$20*'Cout de production'!$C28*2</f>
        <v>0</v>
      </c>
      <c r="G28" s="61">
        <f>Données!$D$21*'Cout de production'!$C28*2</f>
        <v>0</v>
      </c>
      <c r="H28" t="s">
        <v>100</v>
      </c>
    </row>
    <row r="29" ht="14.25">
      <c r="A29" s="20" t="s">
        <v>6</v>
      </c>
      <c r="B29" s="61">
        <f>'Stock acheté'!B40</f>
        <v>0</v>
      </c>
      <c r="C29" s="39">
        <f>'Stock acheté'!C40</f>
        <v>0</v>
      </c>
      <c r="D29" s="39">
        <f>'Stock acheté'!D40</f>
        <v>0</v>
      </c>
      <c r="E29" s="34"/>
      <c r="F29" s="61">
        <f>Données!$D$20*'Cout de production'!$C29</f>
        <v>0</v>
      </c>
      <c r="G29" s="61">
        <f>Données!$D$21*'Cout de production'!$C29</f>
        <v>0</v>
      </c>
    </row>
    <row r="30" ht="14.25">
      <c r="A30" s="20" t="s">
        <v>9</v>
      </c>
      <c r="B30" s="61">
        <f>'Stock acheté'!B48</f>
        <v>0</v>
      </c>
      <c r="C30" s="39">
        <f>'Stock acheté'!C48</f>
        <v>0</v>
      </c>
      <c r="D30" s="39">
        <f>'Stock acheté'!D48</f>
        <v>0</v>
      </c>
      <c r="E30" s="34"/>
      <c r="F30" s="61">
        <f>Données!$D$20*'Cout de production'!$C30</f>
        <v>0</v>
      </c>
      <c r="G30" s="61">
        <f>Données!$D$21*'Cout de production'!$C30</f>
        <v>0</v>
      </c>
    </row>
    <row r="31" ht="14.25">
      <c r="A31" s="20" t="s">
        <v>11</v>
      </c>
      <c r="B31" s="61">
        <f>'Stock acheté'!B56</f>
        <v>0</v>
      </c>
      <c r="C31" s="39">
        <f>'Stock acheté'!C56</f>
        <v>0</v>
      </c>
      <c r="D31" s="39">
        <f>'Stock acheté'!D56</f>
        <v>0</v>
      </c>
      <c r="E31" s="34"/>
      <c r="F31" s="61">
        <f>Données!$D$20*'Cout de production'!$C31</f>
        <v>0</v>
      </c>
      <c r="G31" s="61">
        <f>Données!$D$21*'Cout de production'!$C31</f>
        <v>0</v>
      </c>
    </row>
    <row r="32" ht="14.25">
      <c r="A32" s="20" t="s">
        <v>67</v>
      </c>
      <c r="B32" s="61">
        <f>'Stock acheté'!B64</f>
        <v>46</v>
      </c>
      <c r="C32" s="39">
        <f>'Stock acheté'!C64</f>
        <v>1.2981122629999999</v>
      </c>
      <c r="D32" s="39">
        <f>'Stock acheté'!D64</f>
        <v>59.713164098</v>
      </c>
      <c r="E32" s="34"/>
      <c r="F32" s="34"/>
      <c r="G32" s="39">
        <f>D32</f>
        <v>59.713164098</v>
      </c>
    </row>
    <row r="33" ht="14.25">
      <c r="A33" s="20" t="s">
        <v>69</v>
      </c>
      <c r="B33" s="61">
        <f>'Stock acheté'!B72</f>
        <v>3150</v>
      </c>
      <c r="C33" s="39">
        <f>'Stock acheté'!C72</f>
        <v>2.9835813459999998</v>
      </c>
      <c r="D33" s="39">
        <f>'Stock acheté'!D72</f>
        <v>9398.2812398999995</v>
      </c>
      <c r="E33" s="34"/>
      <c r="F33" s="61">
        <f>Données!$D$20*'Cout de production'!$C33</f>
        <v>5445.0359564499995</v>
      </c>
      <c r="G33" s="34"/>
    </row>
    <row r="34" ht="14.25">
      <c r="A34" s="20" t="s">
        <v>70</v>
      </c>
      <c r="B34" s="61">
        <f>'Stock acheté'!B80</f>
        <v>0</v>
      </c>
      <c r="C34" s="39">
        <f>'Stock acheté'!C80</f>
        <v>0</v>
      </c>
      <c r="D34" s="39">
        <f>'Stock acheté'!D80</f>
        <v>0</v>
      </c>
      <c r="E34" s="34"/>
      <c r="F34" s="61">
        <f>Données!$D$20*'Cout de production'!$C34</f>
        <v>0</v>
      </c>
      <c r="G34" s="34"/>
    </row>
    <row r="35" ht="14.25">
      <c r="A35" s="20" t="s">
        <v>71</v>
      </c>
      <c r="B35" s="61">
        <f>'Stock acheté'!B89</f>
        <v>0</v>
      </c>
      <c r="C35" s="39">
        <f>'Stock acheté'!C89</f>
        <v>0</v>
      </c>
      <c r="D35" s="39">
        <f>'Stock acheté'!D89</f>
        <v>0</v>
      </c>
      <c r="E35" s="34"/>
      <c r="F35" s="34"/>
      <c r="G35" s="61">
        <f>Données!$D$21*'Cout de production'!$C35</f>
        <v>0</v>
      </c>
    </row>
    <row r="36" ht="14.25">
      <c r="A36" s="20" t="s">
        <v>72</v>
      </c>
      <c r="B36" s="61">
        <f>'Stock acheté'!B98</f>
        <v>0</v>
      </c>
      <c r="C36" s="39">
        <f>'Stock acheté'!C98</f>
        <v>0</v>
      </c>
      <c r="D36" s="39">
        <f>'Stock acheté'!D98</f>
        <v>0</v>
      </c>
      <c r="E36" s="34"/>
      <c r="F36" s="61">
        <f>Données!$D$20*'Cout de production'!$C36</f>
        <v>0</v>
      </c>
      <c r="G36" s="61">
        <f>Données!$D$21*'Cout de production'!$C36</f>
        <v>0</v>
      </c>
    </row>
    <row r="37" ht="14.25">
      <c r="A37" s="20" t="s">
        <v>22</v>
      </c>
      <c r="B37" s="34"/>
      <c r="C37" s="34"/>
      <c r="D37" s="34"/>
      <c r="E37" s="34"/>
      <c r="F37" s="61">
        <f>SUM(F28:F36)</f>
        <v>5445.0359564499995</v>
      </c>
      <c r="G37" s="61">
        <f>SUM(G28:G36)</f>
        <v>59.713164098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421875"/>
    <col bestFit="1" min="3" max="3" width="10.8515625"/>
    <col bestFit="1" min="4" max="4" width="11.28125"/>
    <col bestFit="1" min="6" max="6" width="76.421875"/>
  </cols>
  <sheetData>
    <row r="1">
      <c r="A1" s="64" t="s">
        <v>101</v>
      </c>
      <c r="B1" s="65"/>
      <c r="C1" s="65"/>
      <c r="D1" s="65"/>
      <c r="E1" s="3"/>
      <c r="F1" s="3"/>
    </row>
    <row r="2">
      <c r="A2" s="28"/>
      <c r="B2" s="13" t="s">
        <v>74</v>
      </c>
      <c r="C2" s="13" t="s">
        <v>75</v>
      </c>
      <c r="D2" s="13" t="s">
        <v>76</v>
      </c>
      <c r="E2" s="3"/>
      <c r="F2" s="3"/>
    </row>
    <row r="3">
      <c r="A3" s="1" t="s">
        <v>77</v>
      </c>
      <c r="B3" s="2">
        <v>40</v>
      </c>
      <c r="C3" s="69">
        <v>38</v>
      </c>
      <c r="D3" s="69">
        <v>1520</v>
      </c>
      <c r="E3" s="3"/>
      <c r="F3" s="3"/>
    </row>
    <row r="4">
      <c r="A4" s="1" t="s">
        <v>78</v>
      </c>
      <c r="B4" s="2">
        <v>1825</v>
      </c>
      <c r="C4" s="69">
        <v>42.869999999999997</v>
      </c>
      <c r="D4" s="69">
        <v>78242.428</v>
      </c>
      <c r="E4" s="3"/>
      <c r="F4" s="84" t="s">
        <v>102</v>
      </c>
    </row>
    <row r="5">
      <c r="A5" s="1" t="s">
        <v>22</v>
      </c>
      <c r="B5" s="2">
        <v>1865</v>
      </c>
      <c r="C5" s="69">
        <v>42.770000000000003</v>
      </c>
      <c r="D5" s="69">
        <v>79762.428</v>
      </c>
      <c r="E5" s="3"/>
      <c r="F5" s="3"/>
    </row>
    <row r="6">
      <c r="A6" s="1" t="s">
        <v>80</v>
      </c>
      <c r="B6" s="2">
        <v>1800</v>
      </c>
      <c r="C6" s="69">
        <v>42.770000000000003</v>
      </c>
      <c r="D6" s="69">
        <v>76982.504239999995</v>
      </c>
      <c r="E6" s="3"/>
      <c r="F6" s="84" t="s">
        <v>103</v>
      </c>
    </row>
    <row r="7">
      <c r="A7" s="1" t="s">
        <v>81</v>
      </c>
      <c r="B7" s="2">
        <v>65</v>
      </c>
      <c r="C7" s="69">
        <v>42.770000000000003</v>
      </c>
      <c r="D7" s="69">
        <v>2779.9237640000001</v>
      </c>
      <c r="E7" s="3"/>
      <c r="F7" s="3"/>
    </row>
    <row r="8">
      <c r="A8" s="3"/>
      <c r="B8" s="3"/>
      <c r="C8" s="3"/>
      <c r="D8" s="3"/>
      <c r="E8" s="3"/>
      <c r="F8" s="3"/>
    </row>
    <row r="9">
      <c r="A9" s="64" t="s">
        <v>104</v>
      </c>
      <c r="B9" s="65"/>
      <c r="C9" s="65"/>
      <c r="D9" s="65"/>
      <c r="E9" s="3"/>
      <c r="F9" s="3"/>
    </row>
    <row r="10">
      <c r="A10" s="28"/>
      <c r="B10" s="13" t="s">
        <v>74</v>
      </c>
      <c r="C10" s="13" t="s">
        <v>75</v>
      </c>
      <c r="D10" s="13" t="s">
        <v>76</v>
      </c>
      <c r="E10" s="3"/>
      <c r="F10" s="3"/>
    </row>
    <row r="11">
      <c r="A11" s="1" t="s">
        <v>77</v>
      </c>
      <c r="B11" s="2">
        <v>20</v>
      </c>
      <c r="C11" s="69">
        <v>45</v>
      </c>
      <c r="D11" s="69">
        <v>900</v>
      </c>
      <c r="E11" s="3"/>
      <c r="F11" s="3"/>
    </row>
    <row r="12">
      <c r="A12" s="1" t="s">
        <v>78</v>
      </c>
      <c r="B12" s="2">
        <v>1325</v>
      </c>
      <c r="C12" s="69">
        <v>45.382800000000003</v>
      </c>
      <c r="D12" s="69">
        <v>60132.197059999999</v>
      </c>
      <c r="E12" s="3"/>
      <c r="F12" s="3"/>
    </row>
    <row r="13">
      <c r="A13" s="1" t="s">
        <v>22</v>
      </c>
      <c r="B13" s="2">
        <v>1345</v>
      </c>
      <c r="C13" s="69">
        <v>45.377099999999999</v>
      </c>
      <c r="D13" s="69">
        <v>61032.197059999999</v>
      </c>
      <c r="E13" s="3"/>
      <c r="F13" s="3"/>
    </row>
    <row r="14">
      <c r="A14" s="1" t="s">
        <v>80</v>
      </c>
      <c r="B14" s="2">
        <v>1300</v>
      </c>
      <c r="C14" s="69">
        <v>45.377099999999999</v>
      </c>
      <c r="D14" s="69">
        <v>58990.227639999997</v>
      </c>
      <c r="E14" s="3"/>
      <c r="F14" s="3"/>
    </row>
    <row r="15">
      <c r="A15" s="1" t="s">
        <v>81</v>
      </c>
      <c r="B15" s="2">
        <v>45</v>
      </c>
      <c r="C15" s="69">
        <v>45.377099999999999</v>
      </c>
      <c r="D15" s="69">
        <v>2041.9694179999999</v>
      </c>
      <c r="E15" s="3"/>
      <c r="F15" s="3"/>
    </row>
    <row r="20">
      <c r="A20" s="64" t="s">
        <v>105</v>
      </c>
      <c r="B20" s="65"/>
      <c r="C20" s="65"/>
      <c r="D20" s="65"/>
    </row>
    <row r="21">
      <c r="A21" s="28"/>
      <c r="B21" s="13" t="s">
        <v>74</v>
      </c>
      <c r="C21" s="12" t="s">
        <v>75</v>
      </c>
      <c r="D21" s="12" t="s">
        <v>76</v>
      </c>
    </row>
    <row r="22">
      <c r="A22" s="20" t="s">
        <v>77</v>
      </c>
      <c r="B22" s="66"/>
      <c r="C22" s="85"/>
      <c r="D22" s="60">
        <f t="shared" ref="D22:D26" si="35">B22*C22</f>
        <v>0</v>
      </c>
    </row>
    <row r="23">
      <c r="A23" s="20" t="s">
        <v>78</v>
      </c>
      <c r="B23" s="66"/>
      <c r="C23" s="60"/>
      <c r="D23" s="60">
        <f t="shared" si="35"/>
        <v>0</v>
      </c>
    </row>
    <row r="24">
      <c r="A24" s="20" t="s">
        <v>22</v>
      </c>
      <c r="B24" s="66"/>
      <c r="C24" s="60"/>
      <c r="D24" s="60">
        <f t="shared" si="35"/>
        <v>0</v>
      </c>
    </row>
    <row r="25">
      <c r="A25" s="20" t="s">
        <v>80</v>
      </c>
      <c r="B25" s="66"/>
      <c r="C25" s="60"/>
      <c r="D25" s="60">
        <f t="shared" si="35"/>
        <v>0</v>
      </c>
    </row>
    <row r="26">
      <c r="A26" s="20" t="s">
        <v>81</v>
      </c>
      <c r="B26" s="66"/>
      <c r="C26" s="60"/>
      <c r="D26" s="60">
        <f t="shared" si="35"/>
        <v>0</v>
      </c>
    </row>
    <row r="27">
      <c r="A27" s="58"/>
      <c r="B27" s="58"/>
      <c r="C27" s="58"/>
      <c r="D27" s="58"/>
    </row>
    <row r="28">
      <c r="A28" s="64" t="s">
        <v>105</v>
      </c>
      <c r="B28" s="65"/>
      <c r="C28" s="65"/>
      <c r="D28" s="65"/>
    </row>
    <row r="29">
      <c r="A29" s="37"/>
      <c r="B29" s="33" t="s">
        <v>74</v>
      </c>
      <c r="C29" s="17" t="s">
        <v>75</v>
      </c>
      <c r="D29" s="17" t="s">
        <v>76</v>
      </c>
    </row>
    <row r="30">
      <c r="A30" s="20" t="s">
        <v>77</v>
      </c>
      <c r="B30" s="66"/>
      <c r="C30" s="60"/>
      <c r="D30" s="60">
        <f t="shared" ref="D30:D31" si="36">C30*B30</f>
        <v>0</v>
      </c>
    </row>
    <row r="31">
      <c r="A31" s="20" t="s">
        <v>78</v>
      </c>
      <c r="B31" s="66"/>
      <c r="C31" s="60"/>
      <c r="D31" s="60">
        <f t="shared" si="36"/>
        <v>0</v>
      </c>
    </row>
    <row r="32">
      <c r="A32" s="20" t="s">
        <v>22</v>
      </c>
      <c r="B32" s="66"/>
      <c r="C32" s="60"/>
      <c r="D32" s="60">
        <f>B32*C32</f>
        <v>0</v>
      </c>
    </row>
    <row r="33">
      <c r="A33" s="20" t="s">
        <v>80</v>
      </c>
      <c r="B33" s="66"/>
      <c r="C33" s="60"/>
      <c r="D33" s="60">
        <f t="shared" ref="D33:D34" si="37">C33*B33</f>
        <v>0</v>
      </c>
    </row>
    <row r="34">
      <c r="A34" s="20" t="s">
        <v>81</v>
      </c>
      <c r="B34" s="66"/>
      <c r="C34" s="60"/>
      <c r="D34" s="60">
        <f t="shared" si="37"/>
        <v>0</v>
      </c>
    </row>
  </sheetData>
  <mergeCells count="4">
    <mergeCell ref="A1:D1"/>
    <mergeCell ref="A9:D9"/>
    <mergeCell ref="A20:D20"/>
    <mergeCell ref="A28:D2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37.28125"/>
    <col bestFit="1" min="2" max="2" width="7.453125"/>
    <col bestFit="1" min="3" max="3" width="10.3125"/>
    <col bestFit="1" min="4" max="4" width="11.453125"/>
    <col bestFit="1" min="5" max="6" width="10.3125"/>
    <col bestFit="1" min="7" max="7" width="10.421875"/>
    <col bestFit="1" min="8" max="8" width="10.3125"/>
    <col bestFit="1" min="9" max="9" width="40.94140625"/>
  </cols>
  <sheetData>
    <row r="1">
      <c r="A1" s="34"/>
      <c r="B1" s="64" t="s">
        <v>5</v>
      </c>
      <c r="C1" s="65"/>
      <c r="D1" s="86"/>
      <c r="E1" s="64" t="s">
        <v>8</v>
      </c>
      <c r="F1" s="65"/>
      <c r="G1" s="86"/>
      <c r="H1" s="3"/>
      <c r="I1" s="3"/>
    </row>
    <row r="2">
      <c r="A2" s="34"/>
      <c r="B2" s="87" t="s">
        <v>26</v>
      </c>
      <c r="C2" s="87" t="s">
        <v>106</v>
      </c>
      <c r="D2" s="87" t="s">
        <v>22</v>
      </c>
      <c r="E2" s="87" t="s">
        <v>26</v>
      </c>
      <c r="F2" s="87" t="s">
        <v>106</v>
      </c>
      <c r="G2" s="87" t="s">
        <v>22</v>
      </c>
      <c r="H2" s="3"/>
      <c r="I2" s="3"/>
    </row>
    <row r="3">
      <c r="A3" s="82" t="s">
        <v>107</v>
      </c>
      <c r="B3" s="88">
        <f>'Stock trotinettes'!B6</f>
        <v>1800</v>
      </c>
      <c r="C3" s="39">
        <f>'Stock trotinettes'!C6</f>
        <v>42.770000000000003</v>
      </c>
      <c r="D3" s="39">
        <f>B3*C3</f>
        <v>76986</v>
      </c>
      <c r="E3" s="88">
        <f>'Stock trotinettes'!B14</f>
        <v>1300</v>
      </c>
      <c r="F3" s="39">
        <f>'Stock trotinettes'!C14</f>
        <v>45.377099999999999</v>
      </c>
      <c r="G3" s="39">
        <f>E3*F3</f>
        <v>58990.229999999996</v>
      </c>
      <c r="H3" s="84" t="s">
        <v>108</v>
      </c>
      <c r="I3" s="84" t="s">
        <v>109</v>
      </c>
    </row>
    <row r="4">
      <c r="A4" s="82" t="s">
        <v>110</v>
      </c>
      <c r="B4" s="89"/>
      <c r="C4" s="34"/>
      <c r="D4" s="34"/>
      <c r="E4" s="89"/>
      <c r="F4" s="34"/>
      <c r="G4" s="89"/>
      <c r="H4" s="3"/>
      <c r="I4" s="3"/>
    </row>
    <row r="5">
      <c r="A5" s="82" t="s">
        <v>111</v>
      </c>
      <c r="B5" s="88">
        <v>1800</v>
      </c>
      <c r="C5" s="39">
        <v>5</v>
      </c>
      <c r="D5" s="39">
        <f t="shared" ref="D5:D6" si="38">B5*C5</f>
        <v>9000</v>
      </c>
      <c r="E5" s="88">
        <f>'Stock trotinettes'!B14</f>
        <v>1300</v>
      </c>
      <c r="F5" s="39">
        <v>5</v>
      </c>
      <c r="G5" s="39">
        <f t="shared" ref="G5:G6" si="39">E5*F5</f>
        <v>6500</v>
      </c>
      <c r="H5" s="3"/>
      <c r="I5" s="3"/>
    </row>
    <row r="6">
      <c r="A6" s="82" t="s">
        <v>64</v>
      </c>
      <c r="B6" s="88">
        <f>D12/10</f>
        <v>9900</v>
      </c>
      <c r="C6" s="63" t="e">
        <f>'Charges indirectes'!G37</f>
        <v>#NUM!</v>
      </c>
      <c r="D6" s="63" t="e">
        <f t="shared" si="38"/>
        <v>#NUM!</v>
      </c>
      <c r="E6" s="88">
        <v>7800</v>
      </c>
      <c r="F6" s="63" t="e">
        <f>'Charges indirectes'!G37</f>
        <v>#NUM!</v>
      </c>
      <c r="G6" s="39" t="e">
        <f t="shared" si="39"/>
        <v>#NUM!</v>
      </c>
      <c r="H6" s="90" t="e">
        <f>D6+G6</f>
        <v>#NUM!</v>
      </c>
      <c r="I6" s="3"/>
    </row>
    <row r="7">
      <c r="A7" s="34"/>
      <c r="B7" s="89"/>
      <c r="C7" s="34"/>
      <c r="D7" s="34"/>
      <c r="E7" s="89"/>
      <c r="F7" s="34"/>
      <c r="G7" s="34"/>
      <c r="H7" s="3"/>
      <c r="I7" s="3"/>
    </row>
    <row r="8">
      <c r="A8" s="34"/>
      <c r="B8" s="89"/>
      <c r="C8" s="34"/>
      <c r="D8" s="34"/>
      <c r="E8" s="89"/>
      <c r="F8" s="34"/>
      <c r="G8" s="34"/>
      <c r="H8" s="3"/>
      <c r="I8" s="3"/>
    </row>
    <row r="9">
      <c r="A9" s="82" t="s">
        <v>112</v>
      </c>
      <c r="B9" s="88">
        <f>B5</f>
        <v>1800</v>
      </c>
      <c r="C9" s="39" t="e">
        <f>D9/B9</f>
        <v>#NUM!</v>
      </c>
      <c r="D9" s="39" t="e">
        <f>SUM(D3:D8)</f>
        <v>#NUM!</v>
      </c>
      <c r="E9" s="88">
        <f>E5</f>
        <v>1300</v>
      </c>
      <c r="F9" s="39" t="e">
        <f>G9/E9</f>
        <v>#NUM!</v>
      </c>
      <c r="G9" s="39" t="e">
        <f>SUM(G3:G8)</f>
        <v>#NUM!</v>
      </c>
      <c r="H9" s="84" t="s">
        <v>113</v>
      </c>
      <c r="I9" s="84" t="s">
        <v>114</v>
      </c>
    </row>
    <row r="10">
      <c r="A10" s="34"/>
      <c r="B10" s="89"/>
      <c r="C10" s="34"/>
      <c r="D10" s="34"/>
      <c r="E10" s="89"/>
      <c r="F10" s="34"/>
      <c r="G10" s="34"/>
      <c r="H10" s="3"/>
      <c r="I10" s="3"/>
    </row>
    <row r="11">
      <c r="A11" s="34"/>
      <c r="B11" s="89"/>
      <c r="C11" s="34"/>
      <c r="D11" s="34"/>
      <c r="E11" s="89"/>
      <c r="F11" s="34"/>
      <c r="G11" s="34"/>
      <c r="H11" s="3"/>
      <c r="I11" s="3"/>
    </row>
    <row r="12">
      <c r="A12" s="82" t="s">
        <v>115</v>
      </c>
      <c r="B12" s="88">
        <f>B9</f>
        <v>1800</v>
      </c>
      <c r="C12" s="39">
        <v>55</v>
      </c>
      <c r="D12" s="39">
        <f>B12*C12</f>
        <v>99000</v>
      </c>
      <c r="E12" s="88">
        <f>E9</f>
        <v>1300</v>
      </c>
      <c r="F12" s="39" t="e">
        <f>G9/E9</f>
        <v>#NUM!</v>
      </c>
      <c r="G12" s="39" t="e">
        <f>E12*F12</f>
        <v>#NUM!</v>
      </c>
      <c r="H12" s="3"/>
      <c r="I12" s="3"/>
    </row>
    <row r="13">
      <c r="A13" s="3"/>
      <c r="B13" s="91"/>
      <c r="C13" s="3"/>
      <c r="D13" s="3"/>
      <c r="E13" s="91"/>
      <c r="F13" s="3"/>
      <c r="G13" s="3"/>
      <c r="H13" s="3"/>
      <c r="I13" s="3"/>
    </row>
    <row r="14">
      <c r="A14" s="3"/>
      <c r="B14" s="91"/>
      <c r="C14" s="3"/>
      <c r="D14" s="3"/>
      <c r="E14" s="91"/>
      <c r="F14" s="3"/>
      <c r="G14" s="3"/>
      <c r="H14" s="3"/>
      <c r="I14" s="3"/>
    </row>
    <row r="15">
      <c r="A15" s="82" t="s">
        <v>116</v>
      </c>
      <c r="B15" s="88">
        <v>1800</v>
      </c>
      <c r="C15" s="39" t="e">
        <f>D15/B15</f>
        <v>#NUM!</v>
      </c>
      <c r="D15" s="39" t="e">
        <f>D12-D9</f>
        <v>#NUM!</v>
      </c>
      <c r="E15" s="88">
        <v>1300</v>
      </c>
      <c r="F15" s="39" t="e">
        <f>G15/E15</f>
        <v>#NUM!</v>
      </c>
      <c r="G15" s="39" t="e">
        <f>G12-G9</f>
        <v>#NUM!</v>
      </c>
      <c r="H15" s="84" t="s">
        <v>108</v>
      </c>
      <c r="I15" s="84" t="s">
        <v>117</v>
      </c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6" t="s">
        <v>118</v>
      </c>
      <c r="B18" s="8">
        <v>3100</v>
      </c>
      <c r="C18" s="8" t="e">
        <f>D18/B18</f>
        <v>#NUM!</v>
      </c>
      <c r="D18" s="90" t="e">
        <f>D15+G15</f>
        <v>#NUM!</v>
      </c>
      <c r="E18" s="3"/>
      <c r="F18" s="3"/>
      <c r="G18" s="3"/>
      <c r="H18" s="3"/>
      <c r="I18" s="3"/>
    </row>
    <row r="22">
      <c r="A22" s="34"/>
      <c r="B22" s="64"/>
      <c r="C22" s="65"/>
      <c r="D22" s="86"/>
      <c r="E22" s="64"/>
      <c r="F22" s="65"/>
      <c r="G22" s="86"/>
      <c r="H22" s="3"/>
    </row>
    <row r="23">
      <c r="A23" s="34"/>
      <c r="B23" s="87" t="s">
        <v>26</v>
      </c>
      <c r="C23" s="87" t="s">
        <v>106</v>
      </c>
      <c r="D23" s="87" t="s">
        <v>22</v>
      </c>
      <c r="E23" s="87" t="s">
        <v>26</v>
      </c>
      <c r="F23" s="87" t="s">
        <v>106</v>
      </c>
      <c r="G23" s="87" t="s">
        <v>22</v>
      </c>
      <c r="H23" s="3"/>
    </row>
    <row r="24">
      <c r="A24" s="82"/>
      <c r="B24" s="61"/>
      <c r="C24" s="61"/>
      <c r="D24" s="61"/>
      <c r="E24" s="61"/>
      <c r="F24" s="61"/>
      <c r="G24" s="61"/>
      <c r="H24" s="84" t="s">
        <v>108</v>
      </c>
    </row>
    <row r="25">
      <c r="A25" s="82"/>
      <c r="B25" s="34"/>
      <c r="C25" s="34"/>
      <c r="D25" s="34"/>
      <c r="E25" s="34"/>
      <c r="F25" s="34"/>
      <c r="G25" s="34"/>
      <c r="H25" s="3"/>
    </row>
    <row r="26">
      <c r="A26" s="82"/>
      <c r="B26" s="61"/>
      <c r="C26" s="61"/>
      <c r="D26" s="61"/>
      <c r="E26" s="61"/>
      <c r="F26" s="61"/>
      <c r="G26" s="61"/>
      <c r="H26" s="3"/>
    </row>
    <row r="27">
      <c r="A27" s="82"/>
      <c r="B27" s="61"/>
      <c r="C27" s="63"/>
      <c r="D27" s="63"/>
      <c r="E27" s="61"/>
      <c r="F27" s="63"/>
      <c r="G27" s="63"/>
      <c r="H27" s="92"/>
    </row>
    <row r="28">
      <c r="A28" s="34"/>
      <c r="B28" s="34"/>
      <c r="C28" s="34"/>
      <c r="D28" s="34"/>
      <c r="E28" s="34"/>
      <c r="F28" s="34"/>
      <c r="G28" s="34"/>
      <c r="H28" s="3"/>
    </row>
    <row r="29">
      <c r="A29" s="34"/>
      <c r="B29" s="34"/>
      <c r="C29" s="34"/>
      <c r="D29" s="34"/>
      <c r="E29" s="34"/>
      <c r="F29" s="34"/>
      <c r="G29" s="34"/>
      <c r="H29" s="3"/>
    </row>
    <row r="30">
      <c r="A30" s="82" t="s">
        <v>112</v>
      </c>
      <c r="B30" s="61"/>
      <c r="C30" s="61"/>
      <c r="D30" s="61"/>
      <c r="E30" s="61"/>
      <c r="F30" s="61"/>
      <c r="G30" s="61"/>
      <c r="H30" s="84" t="s">
        <v>113</v>
      </c>
    </row>
    <row r="31">
      <c r="A31" s="34"/>
      <c r="B31" s="34"/>
      <c r="C31" s="34"/>
      <c r="D31" s="34"/>
      <c r="E31" s="34"/>
      <c r="F31" s="34"/>
      <c r="G31" s="34"/>
      <c r="H31" s="3"/>
    </row>
    <row r="32">
      <c r="A32" s="34"/>
      <c r="B32" s="34"/>
      <c r="C32" s="34"/>
      <c r="D32" s="34"/>
      <c r="E32" s="34"/>
      <c r="F32" s="34"/>
      <c r="G32" s="34"/>
      <c r="H32" s="3"/>
    </row>
    <row r="33">
      <c r="A33" s="82" t="s">
        <v>115</v>
      </c>
      <c r="B33" s="61"/>
      <c r="C33" s="61"/>
      <c r="D33" s="61"/>
      <c r="E33" s="61"/>
      <c r="F33" s="61"/>
      <c r="G33" s="61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51"/>
      <c r="B35" s="51"/>
      <c r="C35" s="51"/>
      <c r="D35" s="51"/>
      <c r="E35" s="51"/>
      <c r="F35" s="51"/>
      <c r="G35" s="51"/>
      <c r="H35" s="3"/>
    </row>
    <row r="36">
      <c r="A36" s="82" t="s">
        <v>116</v>
      </c>
      <c r="B36" s="61"/>
      <c r="C36" s="61"/>
      <c r="D36" s="61"/>
      <c r="E36" s="61"/>
      <c r="F36" s="61"/>
      <c r="G36" s="61"/>
      <c r="H36" s="84" t="s">
        <v>108</v>
      </c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6" t="s">
        <v>118</v>
      </c>
      <c r="B39" s="8"/>
      <c r="C39" s="8" t="e">
        <f>D39/B39</f>
        <v>#DIV/0!</v>
      </c>
      <c r="D39" s="8"/>
      <c r="E39" s="3"/>
      <c r="F39" s="3"/>
      <c r="G39" s="3"/>
      <c r="H39" s="3"/>
    </row>
  </sheetData>
  <mergeCells count="4">
    <mergeCell ref="B1:D1"/>
    <mergeCell ref="E1:G1"/>
    <mergeCell ref="B22:D22"/>
    <mergeCell ref="E22:G2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2026-01-21T21:31:04Z</dcterms:modified>
</cp:coreProperties>
</file>